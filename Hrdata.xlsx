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USER\Desktop\My Personal file\data analysis project\Excel\"/>
    </mc:Choice>
  </mc:AlternateContent>
  <xr:revisionPtr revIDLastSave="0" documentId="13_ncr:1_{1F587304-E837-45EE-95ED-5614CD7623F6}" xr6:coauthVersionLast="47" xr6:coauthVersionMax="47" xr10:uidLastSave="{00000000-0000-0000-0000-000000000000}"/>
  <bookViews>
    <workbookView xWindow="-110" yWindow="-110" windowWidth="19420" windowHeight="10420" activeTab="3" xr2:uid="{78FABFA9-01FC-4E07-9B28-D095F139223F}"/>
  </bookViews>
  <sheets>
    <sheet name="data" sheetId="1" r:id="rId1"/>
    <sheet name="hrdata" sheetId="4" r:id="rId2"/>
    <sheet name="Analysis" sheetId="6" r:id="rId3"/>
    <sheet name="dashboard" sheetId="3" r:id="rId4"/>
    <sheet name="search" sheetId="7" r:id="rId5"/>
  </sheets>
  <definedNames>
    <definedName name="_xlnm._FilterDatabase" localSheetId="2" hidden="1">Analysis!$B$30:$C$39</definedName>
    <definedName name="_xlnm._FilterDatabase" localSheetId="0" hidden="1">data!$B$1:$O$1</definedName>
    <definedName name="_xlchart.v2.0" hidden="1">Analysis!$B$31:$B$39</definedName>
    <definedName name="_xlchart.v2.1" hidden="1">Analysis!$C$30</definedName>
    <definedName name="_xlchart.v2.2" hidden="1">Analysis!$C$31:$C$39</definedName>
    <definedName name="departments">Analysis!$B$19:$C$28</definedName>
    <definedName name="departments2">Analysis!$B$30:$C$39</definedName>
    <definedName name="Employeecount">Analysis!$B$3</definedName>
    <definedName name="employeereview">Analysis!$B$14:$C$16</definedName>
    <definedName name="employeestatus">Analysis!$H$2:$I$4</definedName>
    <definedName name="ExternalData_1" localSheetId="1" hidden="1">hrdata!$B$3:$R$154</definedName>
    <definedName name="Gender">Analysis!$D$2</definedName>
    <definedName name="location">Analysis!$H$8:$I$22</definedName>
    <definedName name="searchrange">search!$C$6:$L$156</definedName>
    <definedName name="Slicer_Distribution_Center">#N/A</definedName>
    <definedName name="Slicer_Employee_review">#N/A</definedName>
    <definedName name="Slicer_Employee_status">#N/A</definedName>
    <definedName name="status">Analysis!$B$8:$C$11</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 i="7" l="1"/>
  <c r="B2" i="7"/>
  <c r="R6" i="7" s="1"/>
  <c r="R7" i="7" s="1"/>
  <c r="K36" i="6" a="1"/>
  <c r="K36" i="6" s="1"/>
  <c r="K13" i="6" a="1"/>
  <c r="K13" i="6" s="1"/>
  <c r="B30" i="6" a="1"/>
  <c r="B30" i="6" s="1"/>
  <c r="K22" i="6"/>
  <c r="B29" i="6"/>
  <c r="D10" i="6"/>
  <c r="D11" i="6"/>
  <c r="D9" i="6"/>
  <c r="F4" i="6"/>
  <c r="F3" i="6"/>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N6" i="7" l="1"/>
  <c r="O10" i="7" s="1"/>
  <c r="U6" i="7"/>
  <c r="U7" i="7" s="1"/>
  <c r="Q6" i="7"/>
  <c r="Q7" i="7" s="1"/>
  <c r="T6" i="7"/>
  <c r="T7" i="7" s="1"/>
  <c r="P6" i="7"/>
  <c r="P7" i="7" s="1"/>
  <c r="W6" i="7"/>
  <c r="W7" i="7" s="1"/>
  <c r="S6" i="7"/>
  <c r="S7" i="7" s="1"/>
  <c r="O6" i="7"/>
  <c r="O7" i="7" s="1"/>
  <c r="V6" i="7"/>
  <c r="V7" i="7" s="1"/>
  <c r="N7" i="7" l="1"/>
  <c r="O11" i="7" s="1"/>
  <c r="O12" i="7" l="1"/>
  <c r="O13"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7E8BD7-6BA9-45E5-B980-138D835728C9}" keepAlive="1" name="Query - hrdata" description="Connection to the 'hrdata' query in the workbook." type="5" refreshedVersion="8" background="1" saveData="1">
    <dbPr connection="Provider=Microsoft.Mashup.OleDb.1;Data Source=$Workbook$;Location=hrdata;Extended Properties=&quot;&quot;" command="SELECT * FROM [hr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<sst xmlns="http://schemas.openxmlformats.org/spreadsheetml/2006/main" count="5898" uniqueCount="747">
  <si>
    <t>Department</t>
  </si>
  <si>
    <t>Designation</t>
  </si>
  <si>
    <t>Job Level</t>
  </si>
  <si>
    <t>Cost Center</t>
  </si>
  <si>
    <t>Location</t>
  </si>
  <si>
    <t>Office Tel</t>
  </si>
  <si>
    <t>Email</t>
  </si>
  <si>
    <t>Andhra Pradesh</t>
  </si>
  <si>
    <t>Management</t>
  </si>
  <si>
    <t>President</t>
  </si>
  <si>
    <t>Manager</t>
  </si>
  <si>
    <t>Shared Services</t>
  </si>
  <si>
    <t>Abu Dhabi</t>
  </si>
  <si>
    <t>+971 02 1846750</t>
  </si>
  <si>
    <t>Lamya.Qasim@Rare.com</t>
  </si>
  <si>
    <t>Arunachal Pradesh</t>
  </si>
  <si>
    <t>Sales</t>
  </si>
  <si>
    <t>Senior Executive</t>
  </si>
  <si>
    <t>Non-Manager</t>
  </si>
  <si>
    <t>Frozen Food</t>
  </si>
  <si>
    <t>Amman</t>
  </si>
  <si>
    <t>+962 06 1797294</t>
  </si>
  <si>
    <t>Ayman.Ghanem@Rare.com</t>
  </si>
  <si>
    <t>Assam</t>
  </si>
  <si>
    <t>Staff</t>
  </si>
  <si>
    <t>Non-Frozen Food</t>
  </si>
  <si>
    <t>Cairo</t>
  </si>
  <si>
    <t>+20 20 3395968</t>
  </si>
  <si>
    <t>Ahlam.Mutwali@Rare.com</t>
  </si>
  <si>
    <t>Bihar</t>
  </si>
  <si>
    <t>+20 20 3301080</t>
  </si>
  <si>
    <t>Ghada.Shadi@Rare.com</t>
  </si>
  <si>
    <t>Chhattisgarh</t>
  </si>
  <si>
    <t>Administration</t>
  </si>
  <si>
    <t>Officer</t>
  </si>
  <si>
    <t>Dubai</t>
  </si>
  <si>
    <t>+971 04 3212364</t>
  </si>
  <si>
    <t>Pamela.Rosales@Rare.com</t>
  </si>
  <si>
    <t>Goa</t>
  </si>
  <si>
    <t>Information Technology</t>
  </si>
  <si>
    <t>+971 04 4821985</t>
  </si>
  <si>
    <t>Kamal.Jasrotia@Rare.com</t>
  </si>
  <si>
    <t>Gujarat</t>
  </si>
  <si>
    <t xml:space="preserve">Finance </t>
  </si>
  <si>
    <t>+971 04 7278080</t>
  </si>
  <si>
    <t>Sushil.Kolangde@Rare.com</t>
  </si>
  <si>
    <t>Haryana</t>
  </si>
  <si>
    <t>Kuwait</t>
  </si>
  <si>
    <t>+965  7313760</t>
  </si>
  <si>
    <t>Jenefer.Sanvictores@Rare.com</t>
  </si>
  <si>
    <t>Himachal Pradesh</t>
  </si>
  <si>
    <t>Human Resources</t>
  </si>
  <si>
    <t>+971 02 7681190</t>
  </si>
  <si>
    <t>Caridad.Diaz@Rare.com</t>
  </si>
  <si>
    <t>Jammu &amp; Kashmir</t>
  </si>
  <si>
    <t>Chief Executive</t>
  </si>
  <si>
    <t>+971 04 10820359</t>
  </si>
  <si>
    <t>Madhu.Solanki@Rare.com</t>
  </si>
  <si>
    <t>Jharkhand</t>
  </si>
  <si>
    <t>+971 04 10899840</t>
  </si>
  <si>
    <t>Girish.Bhatia@Rare.com</t>
  </si>
  <si>
    <t>Karnataka</t>
  </si>
  <si>
    <t>Production</t>
  </si>
  <si>
    <t>Senior Manager</t>
  </si>
  <si>
    <t>+971 04 10118238</t>
  </si>
  <si>
    <t>Bejoy.Gangadharan@Rare.com</t>
  </si>
  <si>
    <t>Kerala</t>
  </si>
  <si>
    <t>+971 02 11941020</t>
  </si>
  <si>
    <t>Andrew.Mercado@Rare.com</t>
  </si>
  <si>
    <t>Madhya Pradesh</t>
  </si>
  <si>
    <t>+971 04 11292195</t>
  </si>
  <si>
    <t>Krishnamurthy.Pillai@Rare.com</t>
  </si>
  <si>
    <t>Maharashtra</t>
  </si>
  <si>
    <t>+971 04 11572080</t>
  </si>
  <si>
    <t>Zayed.Reda@Rare.com</t>
  </si>
  <si>
    <t>Manipur</t>
  </si>
  <si>
    <t>+971 02 10968791</t>
  </si>
  <si>
    <t>Fernando.Segundo@Rare.com</t>
  </si>
  <si>
    <t>Meghalaya</t>
  </si>
  <si>
    <t>+971 04 13446072</t>
  </si>
  <si>
    <t>Koushik.Bhattacharya@Rare.com</t>
  </si>
  <si>
    <t>Mizoram</t>
  </si>
  <si>
    <t>+962 06 12673114</t>
  </si>
  <si>
    <t>Ahlam.Rami@Rare.com</t>
  </si>
  <si>
    <t>Nagaland</t>
  </si>
  <si>
    <t>Senior Officer</t>
  </si>
  <si>
    <t>+962 06 16294660</t>
  </si>
  <si>
    <t>Yasmin.Abdul Hasseb@Rare.com</t>
  </si>
  <si>
    <t>Orissa</t>
  </si>
  <si>
    <t>Executive</t>
  </si>
  <si>
    <t>+962 06 15734922</t>
  </si>
  <si>
    <t>Alaa.Ahmed@Rare.com</t>
  </si>
  <si>
    <t>Punjab</t>
  </si>
  <si>
    <t>+20 20 13419736</t>
  </si>
  <si>
    <t>Besan.Omar@Rare.com</t>
  </si>
  <si>
    <t>Rajasthan</t>
  </si>
  <si>
    <t>+962 06 18976978</t>
  </si>
  <si>
    <t>Tahani.Shukri@Rare.com</t>
  </si>
  <si>
    <t>Sikkim</t>
  </si>
  <si>
    <t>+971 04 19264536</t>
  </si>
  <si>
    <t>Shaji.Pillai@Rare.com</t>
  </si>
  <si>
    <t>Tamil Nadu</t>
  </si>
  <si>
    <t>+962 06 13792950</t>
  </si>
  <si>
    <t>Samya.Shukri@Rare.com</t>
  </si>
  <si>
    <t>Telangana</t>
  </si>
  <si>
    <t>+971 04 21960380</t>
  </si>
  <si>
    <t>Suraj.Murthy@Rare.com</t>
  </si>
  <si>
    <t>Tripura</t>
  </si>
  <si>
    <t>+20 20 22081248</t>
  </si>
  <si>
    <t>Ilyas.Rahman@Rare.com</t>
  </si>
  <si>
    <t>Uttar Pradesh</t>
  </si>
  <si>
    <t>Lagos</t>
  </si>
  <si>
    <t>+45 45 25290944</t>
  </si>
  <si>
    <t>Femi.AdeKabil@Rare.com</t>
  </si>
  <si>
    <t>Uttarakhand</t>
  </si>
  <si>
    <t>+962 06 22584040</t>
  </si>
  <si>
    <t>Jirbeel.Essa@Rare.com</t>
  </si>
  <si>
    <t>West Bengal</t>
  </si>
  <si>
    <t>Kogi</t>
  </si>
  <si>
    <t>+974  17546970</t>
  </si>
  <si>
    <t>Salisu.MuhammedBala@Rare.com</t>
  </si>
  <si>
    <t>Omar</t>
  </si>
  <si>
    <t>Mosa</t>
  </si>
  <si>
    <t>Omar Ebrahim Mosa</t>
  </si>
  <si>
    <t>Male</t>
  </si>
  <si>
    <t>Muslim</t>
  </si>
  <si>
    <t>Married</t>
  </si>
  <si>
    <t>Active</t>
  </si>
  <si>
    <t>+20 20 27940610</t>
  </si>
  <si>
    <t>Omar.Mosa@Rare.com</t>
  </si>
  <si>
    <t>Hadija</t>
  </si>
  <si>
    <t>Hadija Kamal T</t>
  </si>
  <si>
    <t>Inactive</t>
  </si>
  <si>
    <t>+974  31999328</t>
  </si>
  <si>
    <t>Hadija.KamalT@Rare.com</t>
  </si>
  <si>
    <t>Enas</t>
  </si>
  <si>
    <t>Loyai</t>
  </si>
  <si>
    <t>Reda</t>
  </si>
  <si>
    <t>Enas Loyai Reda</t>
  </si>
  <si>
    <t>Female</t>
  </si>
  <si>
    <t>+962 06 30064848</t>
  </si>
  <si>
    <t>Enas.Reda@Rare.com</t>
  </si>
  <si>
    <t>Sujeet</t>
  </si>
  <si>
    <t>Mitra</t>
  </si>
  <si>
    <t>Sujeet Kumar Mitra</t>
  </si>
  <si>
    <t xml:space="preserve">Hindu </t>
  </si>
  <si>
    <t>+965  30736102</t>
  </si>
  <si>
    <t>Sujeet.Mitra@Rare.com</t>
  </si>
  <si>
    <t>Matthew Sam Praise</t>
  </si>
  <si>
    <t>Christian</t>
  </si>
  <si>
    <t>Single</t>
  </si>
  <si>
    <t>Abuja</t>
  </si>
  <si>
    <t>+45 45 19633600</t>
  </si>
  <si>
    <t>Matthew.SamPraise@Rare.com</t>
  </si>
  <si>
    <t>Eswar</t>
  </si>
  <si>
    <t>Babu</t>
  </si>
  <si>
    <t>Eswar S Babu</t>
  </si>
  <si>
    <t>+965  24864588</t>
  </si>
  <si>
    <t>Eswar.Babu@Rare.com</t>
  </si>
  <si>
    <t>Majdi</t>
  </si>
  <si>
    <t>Karim</t>
  </si>
  <si>
    <t>Majdi Ramz Karim</t>
  </si>
  <si>
    <t>+20 20 33126507</t>
  </si>
  <si>
    <t>Majdi.Karim@Rare.com</t>
  </si>
  <si>
    <t>Ruby</t>
  </si>
  <si>
    <t>Daniel</t>
  </si>
  <si>
    <t>James</t>
  </si>
  <si>
    <t>Ruby Daniel James</t>
  </si>
  <si>
    <t>London</t>
  </si>
  <si>
    <t>+44 20 21528938</t>
  </si>
  <si>
    <t>Ruby.James@Rare.com</t>
  </si>
  <si>
    <t>Ahmad</t>
  </si>
  <si>
    <t>Ali</t>
  </si>
  <si>
    <t>Jamil</t>
  </si>
  <si>
    <t>Ahmad Ali Jamil</t>
  </si>
  <si>
    <t>+971 04 36359934</t>
  </si>
  <si>
    <t>Ahmad.Jamil@Rare.com</t>
  </si>
  <si>
    <t>Maher</t>
  </si>
  <si>
    <t>Shafiq</t>
  </si>
  <si>
    <t>Maher Khaleel Shafiq</t>
  </si>
  <si>
    <t>+971 02 33255840</t>
  </si>
  <si>
    <t>Maher.Shafiq@Rare.com</t>
  </si>
  <si>
    <t>Robbie</t>
  </si>
  <si>
    <t>Williams</t>
  </si>
  <si>
    <t>Robbie Adams Williams</t>
  </si>
  <si>
    <t>Logistics</t>
  </si>
  <si>
    <t>+971 04 28871052</t>
  </si>
  <si>
    <t>Robbie.Williams@Rare.com</t>
  </si>
  <si>
    <t>Dawood</t>
  </si>
  <si>
    <t>Dahi</t>
  </si>
  <si>
    <t>Dawood Nizar Dahi</t>
  </si>
  <si>
    <t>+971 04 29845998</t>
  </si>
  <si>
    <t>Dawood.Dahi@Rare.com</t>
  </si>
  <si>
    <t>Akram</t>
  </si>
  <si>
    <t>Hani</t>
  </si>
  <si>
    <t>Akram Raafat Hani</t>
  </si>
  <si>
    <t>+971 02 21735640</t>
  </si>
  <si>
    <t>Akram.Hani@Rare.com</t>
  </si>
  <si>
    <t>Ahlam</t>
  </si>
  <si>
    <t>Khalid</t>
  </si>
  <si>
    <t>Ahlam Hani Khalid</t>
  </si>
  <si>
    <t>+971 04 29126592</t>
  </si>
  <si>
    <t>Ahlam.Khalid@Rare.com</t>
  </si>
  <si>
    <t>Fahid</t>
  </si>
  <si>
    <t>Fahid Laith Al Zaidi</t>
  </si>
  <si>
    <t>Marketing</t>
  </si>
  <si>
    <t>Riyadh</t>
  </si>
  <si>
    <t>+966 1 27022635</t>
  </si>
  <si>
    <t>Fahid.Al Zaidi@Rare.com</t>
  </si>
  <si>
    <t>Samer</t>
  </si>
  <si>
    <t>Samer Rahman Ali</t>
  </si>
  <si>
    <t>+971 02 87758467</t>
  </si>
  <si>
    <t>Samer.Ali@Rare.com</t>
  </si>
  <si>
    <t>Arun</t>
  </si>
  <si>
    <t>Sharma</t>
  </si>
  <si>
    <t>Arun Kumar Sharma</t>
  </si>
  <si>
    <t>+971 04 29637018</t>
  </si>
  <si>
    <t>Arun.Sharma@Rare.com</t>
  </si>
  <si>
    <t>Tomas</t>
  </si>
  <si>
    <t>Santiago</t>
  </si>
  <si>
    <t>Tomas Madrigal Santiago</t>
  </si>
  <si>
    <t>+971 02 44915456</t>
  </si>
  <si>
    <t>Tomas.Santiago@Rare.com</t>
  </si>
  <si>
    <t>Faiz</t>
  </si>
  <si>
    <t>Faiz Khaldoon Al Kendi</t>
  </si>
  <si>
    <t>+971 02 42374688</t>
  </si>
  <si>
    <t>Faiz.Al Kendi@Rare.com</t>
  </si>
  <si>
    <t>Mohammad</t>
  </si>
  <si>
    <t>Mohammad Ramzi Al Rumaithi</t>
  </si>
  <si>
    <t>+971 02 39154773</t>
  </si>
  <si>
    <t>Mohammad.Al Rumaithi@Rare.com</t>
  </si>
  <si>
    <t>Jihad</t>
  </si>
  <si>
    <t>Mustafa</t>
  </si>
  <si>
    <t>Osama</t>
  </si>
  <si>
    <t>Jihad Mustafa Osama</t>
  </si>
  <si>
    <t>+971 04 34298300</t>
  </si>
  <si>
    <t>Jihad.Osama@Rare.com</t>
  </si>
  <si>
    <t>Katie</t>
  </si>
  <si>
    <t>Alexander</t>
  </si>
  <si>
    <t>Katie Dylan Alexander</t>
  </si>
  <si>
    <t>+44 20 40167753</t>
  </si>
  <si>
    <t>Katie.Alexander@Rare.com</t>
  </si>
  <si>
    <t>Rasha</t>
  </si>
  <si>
    <t>Ahmed</t>
  </si>
  <si>
    <t>Rasha Ahmed Al Roujoob</t>
  </si>
  <si>
    <t>Manama</t>
  </si>
  <si>
    <t>+973  44579860</t>
  </si>
  <si>
    <t>Rasha.Al Roujoob@Rare.com</t>
  </si>
  <si>
    <t>Hana</t>
  </si>
  <si>
    <t>Rushdi</t>
  </si>
  <si>
    <t>Hana Ali Rushdi</t>
  </si>
  <si>
    <t>+20 20 38756886</t>
  </si>
  <si>
    <t>Hana.Rushdi@Rare.com</t>
  </si>
  <si>
    <t>Hassan</t>
  </si>
  <si>
    <t>Tag Al Sir Hassan Ahmed</t>
  </si>
  <si>
    <t>+971 02 37168686</t>
  </si>
  <si>
    <t>Tag Al Sir.Ahmed@Rare.com</t>
  </si>
  <si>
    <t>Sneha</t>
  </si>
  <si>
    <t>Thakur</t>
  </si>
  <si>
    <t>Sneha Rajendra Thakur</t>
  </si>
  <si>
    <t>+971 04 44277860</t>
  </si>
  <si>
    <t>Sneha.Thakur@Rare.com</t>
  </si>
  <si>
    <t>Vinod</t>
  </si>
  <si>
    <t>Pillai</t>
  </si>
  <si>
    <t>Vinod Gangadhar Pillai</t>
  </si>
  <si>
    <t>+971 02 52569048</t>
  </si>
  <si>
    <t>Vinod.Pillai@Rare.com</t>
  </si>
  <si>
    <t>Vijay</t>
  </si>
  <si>
    <t>Chouhan</t>
  </si>
  <si>
    <t>Vijay Dinanath Chouhan</t>
  </si>
  <si>
    <t>+971 02 50233017</t>
  </si>
  <si>
    <t>Vijay.Chouhan@Rare.com</t>
  </si>
  <si>
    <t>Pradeep</t>
  </si>
  <si>
    <t>Dinkar</t>
  </si>
  <si>
    <t>Pradeep K Dinkar</t>
  </si>
  <si>
    <t>+973  53467822</t>
  </si>
  <si>
    <t>Pradeep.Dinkar@Rare.com</t>
  </si>
  <si>
    <t>Fawzi</t>
  </si>
  <si>
    <t>Hani Mohammad Fawzi</t>
  </si>
  <si>
    <t>+965  48364542</t>
  </si>
  <si>
    <t>Hani.Fawzi@Rare.com</t>
  </si>
  <si>
    <t>Jassim</t>
  </si>
  <si>
    <t>Diya</t>
  </si>
  <si>
    <t>Jassim Ali Diya</t>
  </si>
  <si>
    <t>+973  58062060</t>
  </si>
  <si>
    <t>Jassim.Diya@Rare.com</t>
  </si>
  <si>
    <t>Majid</t>
  </si>
  <si>
    <t>Shahab</t>
  </si>
  <si>
    <t>Majid Ramzi Shahab</t>
  </si>
  <si>
    <t>+20 20 33032781</t>
  </si>
  <si>
    <t>Majid.Shahab@Rare.com</t>
  </si>
  <si>
    <t>Mumin</t>
  </si>
  <si>
    <t>Ismail Omeiza Mumin</t>
  </si>
  <si>
    <t>+49 89 46733306</t>
  </si>
  <si>
    <t>IsmailOmeiza.Mumin@Rare.com</t>
  </si>
  <si>
    <t>Titilomo</t>
  </si>
  <si>
    <t>Jenet Olawole Titilomo</t>
  </si>
  <si>
    <t>Kano</t>
  </si>
  <si>
    <t>+49 89 37538298</t>
  </si>
  <si>
    <t>JenetOlawole.Titilomo@Rare.com</t>
  </si>
  <si>
    <t>Hasib</t>
  </si>
  <si>
    <t>Hasib Sabah Al Hamadi</t>
  </si>
  <si>
    <t>+971 04 59143616</t>
  </si>
  <si>
    <t>Hasib.Al Hamadi@Rare.com</t>
  </si>
  <si>
    <t>Afif</t>
  </si>
  <si>
    <t>Rezk</t>
  </si>
  <si>
    <t>Afif Basem Rezk</t>
  </si>
  <si>
    <t>+965  63541205</t>
  </si>
  <si>
    <t>Afif.Rezk@Rare.com</t>
  </si>
  <si>
    <t>Ankur</t>
  </si>
  <si>
    <t>Dhar</t>
  </si>
  <si>
    <t>Ankur Kumar Dhar</t>
  </si>
  <si>
    <t>Muscat</t>
  </si>
  <si>
    <t>+968  33125796</t>
  </si>
  <si>
    <t>Ankur.Dhar@Rare.com</t>
  </si>
  <si>
    <t>Duha</t>
  </si>
  <si>
    <t>Duha Bilal Al Zaidi</t>
  </si>
  <si>
    <t>+968  42791225</t>
  </si>
  <si>
    <t>Duha.Al Zaidi@Rare.com</t>
  </si>
  <si>
    <t>Yaqoub</t>
  </si>
  <si>
    <t>Yaqoub Mansoor Loyai</t>
  </si>
  <si>
    <t>+968  49917168</t>
  </si>
  <si>
    <t>Yaqoub.Loyai@Rare.com</t>
  </si>
  <si>
    <t>Jean</t>
  </si>
  <si>
    <t>Montalbo</t>
  </si>
  <si>
    <t>Gregorio</t>
  </si>
  <si>
    <t>Jean Montalbo Gregorio</t>
  </si>
  <si>
    <t>+20 20 54521937</t>
  </si>
  <si>
    <t>Jean.Gregorio@Rare.com</t>
  </si>
  <si>
    <t>Usman</t>
  </si>
  <si>
    <t>Abdul Kadir Mukhtar Usman</t>
  </si>
  <si>
    <t>+971 02 45578330</t>
  </si>
  <si>
    <t>Abdul Kadir.Usman@Rare.com</t>
  </si>
  <si>
    <t>Pushparaj</t>
  </si>
  <si>
    <t>Shetty</t>
  </si>
  <si>
    <t>Pushparaj Vishwanath Shetty</t>
  </si>
  <si>
    <t>+971 04 63107214</t>
  </si>
  <si>
    <t>Pushparaj.Shetty@Rare.com</t>
  </si>
  <si>
    <t>Sivakumar</t>
  </si>
  <si>
    <t>Ravichandran</t>
  </si>
  <si>
    <t>Sivakumar N Ravichandran</t>
  </si>
  <si>
    <t>+971 04 68345496</t>
  </si>
  <si>
    <t>Sivakumar.Ravichandran@Rare.com</t>
  </si>
  <si>
    <t>Firas</t>
  </si>
  <si>
    <t>Nasir</t>
  </si>
  <si>
    <t>Firas Mutasim Nasir</t>
  </si>
  <si>
    <t>+968  60257777</t>
  </si>
  <si>
    <t>Firas.Nasir@Rare.com</t>
  </si>
  <si>
    <t>Adeline</t>
  </si>
  <si>
    <t>Adeline Adam Absolon</t>
  </si>
  <si>
    <t>Paris</t>
  </si>
  <si>
    <t>+33 1 68176570</t>
  </si>
  <si>
    <t>Adeline.Absolon  @Rare.com</t>
  </si>
  <si>
    <t>Saleem</t>
  </si>
  <si>
    <t>Tahboob</t>
  </si>
  <si>
    <t>Akram Saleem Tahboob</t>
  </si>
  <si>
    <t>+971 02 40170900</t>
  </si>
  <si>
    <t>Akram.Tahboob@Rare.com</t>
  </si>
  <si>
    <t>Singh</t>
  </si>
  <si>
    <t>Sunita Singh Grewal</t>
  </si>
  <si>
    <t>+971 04 52546324</t>
  </si>
  <si>
    <t>Hari.Iyer@Rare.com</t>
  </si>
  <si>
    <t>Amjad</t>
  </si>
  <si>
    <t>Amjad Ramzi Reda</t>
  </si>
  <si>
    <t>+971 02 42974162</t>
  </si>
  <si>
    <t>Amjad.Reda@Rare.com</t>
  </si>
  <si>
    <t>Hatim</t>
  </si>
  <si>
    <t>Hatim Ridwan Al Blooki</t>
  </si>
  <si>
    <t>+971 02 41767752</t>
  </si>
  <si>
    <t>Hatim.Al Blooki@Rare.com</t>
  </si>
  <si>
    <t>Rasheed</t>
  </si>
  <si>
    <t>Rasheed Mohammad Reda</t>
  </si>
  <si>
    <t>+971 02 72758210</t>
  </si>
  <si>
    <t>Rasheed.Reda@Rare.com</t>
  </si>
  <si>
    <t>Bustan</t>
  </si>
  <si>
    <t>Khalid Omar Bustan</t>
  </si>
  <si>
    <t>+971 02 50274880</t>
  </si>
  <si>
    <t>Khalid.Bustan@Rare.com</t>
  </si>
  <si>
    <t>Sindhu Veluthakkal Sugathan</t>
  </si>
  <si>
    <t>+971 04 45241902</t>
  </si>
  <si>
    <t>Amit.Pathak@Rare.com</t>
  </si>
  <si>
    <t>Ivan</t>
  </si>
  <si>
    <t>Santos</t>
  </si>
  <si>
    <t>Ivan Maniquis Santos</t>
  </si>
  <si>
    <t>+971 02 52054666</t>
  </si>
  <si>
    <t>Ivan.Santos@Rare.com</t>
  </si>
  <si>
    <t>Kamal</t>
  </si>
  <si>
    <t>Mustafa Ali Kamal</t>
  </si>
  <si>
    <t>+971 02 55990721</t>
  </si>
  <si>
    <t>Mustafa.Kamal@Rare.com</t>
  </si>
  <si>
    <t>Fahim</t>
  </si>
  <si>
    <t>Fahim Rasheed Al Ali</t>
  </si>
  <si>
    <t>+20 20 59698632</t>
  </si>
  <si>
    <t>Fahim.Al Ali@Rare.com</t>
  </si>
  <si>
    <t>Waheed</t>
  </si>
  <si>
    <t>Amjad Nabil Waheed</t>
  </si>
  <si>
    <t>+966 1 55177750</t>
  </si>
  <si>
    <t>Amjad.Waheed@Rare.com</t>
  </si>
  <si>
    <t>Tahir</t>
  </si>
  <si>
    <t>Walid</t>
  </si>
  <si>
    <t>Tahir Ghareeb Walid</t>
  </si>
  <si>
    <t>+966 1 65456234</t>
  </si>
  <si>
    <t>Tahir.Walid@Rare.com</t>
  </si>
  <si>
    <t>Esmail</t>
  </si>
  <si>
    <t>Esmail Anas Al Mansouri</t>
  </si>
  <si>
    <t>+966 1 63648069</t>
  </si>
  <si>
    <t>Esmail.Al Mansouri@Rare.com</t>
  </si>
  <si>
    <t>Asim</t>
  </si>
  <si>
    <t>Waleed</t>
  </si>
  <si>
    <t>Asim bassam Waleed</t>
  </si>
  <si>
    <t>+971 02 55190256</t>
  </si>
  <si>
    <t>Asim.Waleed@Rare.com</t>
  </si>
  <si>
    <t>Humaid</t>
  </si>
  <si>
    <t>Humaid Khaldoon Al Shamsi</t>
  </si>
  <si>
    <t>+971 02 86673095</t>
  </si>
  <si>
    <t>Humaid.Al Shamsi@Rare.com</t>
  </si>
  <si>
    <t>Hussain</t>
  </si>
  <si>
    <t>Hussain Saif Al Zaabi</t>
  </si>
  <si>
    <t>+966 1 65275830</t>
  </si>
  <si>
    <t>Hussain.Al Zaabi@Rare.com</t>
  </si>
  <si>
    <t>Ibrahim</t>
  </si>
  <si>
    <t>Khader</t>
  </si>
  <si>
    <t>Ibrahim Mohammad Khader</t>
  </si>
  <si>
    <t>+971 02 87870965</t>
  </si>
  <si>
    <t>Ibrahim.Khader@Rare.com</t>
  </si>
  <si>
    <t>Adrien</t>
  </si>
  <si>
    <t>Adrien Alain Alban</t>
  </si>
  <si>
    <t>+33 1 57956964</t>
  </si>
  <si>
    <t>Adrien.Alban   @Rare.com</t>
  </si>
  <si>
    <t>Jaber</t>
  </si>
  <si>
    <t>Khalifa</t>
  </si>
  <si>
    <t>Jaber Khalifa Hassan</t>
  </si>
  <si>
    <t>+966 1 80837460</t>
  </si>
  <si>
    <t>Jaber.Hassan@Rare.com</t>
  </si>
  <si>
    <t>Ayesh</t>
  </si>
  <si>
    <t>Suha Kereem Ayesh</t>
  </si>
  <si>
    <t>+971 04 49569960</t>
  </si>
  <si>
    <t>Kamal.Ayesh@Rare.com</t>
  </si>
  <si>
    <t>Nino</t>
  </si>
  <si>
    <t>Nino Sison Montalbo</t>
  </si>
  <si>
    <t>+971 02 55597515</t>
  </si>
  <si>
    <t>Nino.Montalbo@Rare.com</t>
  </si>
  <si>
    <t>Indra</t>
  </si>
  <si>
    <t>Indra Rajesh Singh</t>
  </si>
  <si>
    <t>+971 04 94228992</t>
  </si>
  <si>
    <t>Indra.Singh@Rare.com</t>
  </si>
  <si>
    <t>Khalifa Rashid Al Qarni</t>
  </si>
  <si>
    <t>+971 02 49593578</t>
  </si>
  <si>
    <t>Khalifa.Al Qarni@Rare.com</t>
  </si>
  <si>
    <t>Sabir</t>
  </si>
  <si>
    <t>Aziz</t>
  </si>
  <si>
    <t>Sabir Bassam Aziz</t>
  </si>
  <si>
    <t>+971 04 85867306</t>
  </si>
  <si>
    <t>Sabir.Aziz@Rare.com</t>
  </si>
  <si>
    <t>Sheetal</t>
  </si>
  <si>
    <t>Shetti</t>
  </si>
  <si>
    <t>Sheetal Singh Shetti</t>
  </si>
  <si>
    <t>+971 04 96229287</t>
  </si>
  <si>
    <t>Sheetal.Shetti@Rare.com</t>
  </si>
  <si>
    <t>Amer</t>
  </si>
  <si>
    <t>Amer jihad Tahboob</t>
  </si>
  <si>
    <t>+971 04 81501200</t>
  </si>
  <si>
    <t>Amer.Tahboob@Rare.com</t>
  </si>
  <si>
    <t>Mohammad Ali Mustafa</t>
  </si>
  <si>
    <t>+971 04 60278820</t>
  </si>
  <si>
    <t>Mohammad.Mustafa@Rare.com</t>
  </si>
  <si>
    <t>Zaahir</t>
  </si>
  <si>
    <t>Maher Omar Zaahir</t>
  </si>
  <si>
    <t>+20 20 81587148</t>
  </si>
  <si>
    <t>Maher.Zaahir@Rare.com</t>
  </si>
  <si>
    <t>Rangarajan</t>
  </si>
  <si>
    <t>Balaji</t>
  </si>
  <si>
    <t>Rangarajan Vasudev Balaji</t>
  </si>
  <si>
    <t>+971 04 67855267</t>
  </si>
  <si>
    <t>Rangarajan.Balaji@Rare.com</t>
  </si>
  <si>
    <t>Fadi</t>
  </si>
  <si>
    <t>Fadi Obada Al Mehairbi</t>
  </si>
  <si>
    <t>+971 02 58302712</t>
  </si>
  <si>
    <t>Fadi.Al Mehairbi@Rare.com</t>
  </si>
  <si>
    <t>Arceo</t>
  </si>
  <si>
    <t>Edison Tan Arceo</t>
  </si>
  <si>
    <t>+971 02 103688340</t>
  </si>
  <si>
    <t>Edison .Arceo@Rare.com</t>
  </si>
  <si>
    <t>Roderick</t>
  </si>
  <si>
    <t>Zabala</t>
  </si>
  <si>
    <t>Roderick Cruz Zabala</t>
  </si>
  <si>
    <t>+971 04 77193970</t>
  </si>
  <si>
    <t>Roderick.Zabala@Rare.com</t>
  </si>
  <si>
    <t>Chetna</t>
  </si>
  <si>
    <t>Chetna Mahesh Sharma</t>
  </si>
  <si>
    <t>+971 04 82574147</t>
  </si>
  <si>
    <t>Chetna.Sharma@Rare.com</t>
  </si>
  <si>
    <t>Malek</t>
  </si>
  <si>
    <t>Malek Khalid Rushdi</t>
  </si>
  <si>
    <t>+971 02 86467716</t>
  </si>
  <si>
    <t>Malek.Rushdi@Rare.com</t>
  </si>
  <si>
    <t>Jack</t>
  </si>
  <si>
    <t>Jack George Daniel</t>
  </si>
  <si>
    <t>+971 04 57946471</t>
  </si>
  <si>
    <t>Jack.Daniel@Rare.com</t>
  </si>
  <si>
    <t>Rakesh</t>
  </si>
  <si>
    <t>Bhatiya</t>
  </si>
  <si>
    <t>Rakesh Kumar Bhatiya</t>
  </si>
  <si>
    <t>+971 04 68663430</t>
  </si>
  <si>
    <t>Rakesh.Bhatiya@Rare.com</t>
  </si>
  <si>
    <t>Amrita</t>
  </si>
  <si>
    <t>Chopra</t>
  </si>
  <si>
    <t>Amrita Pal Chopra</t>
  </si>
  <si>
    <t>Divorced</t>
  </si>
  <si>
    <t>+971 04 88807104</t>
  </si>
  <si>
    <t>Amrita.Chopra@Rare.com</t>
  </si>
  <si>
    <t>Mamdouh</t>
  </si>
  <si>
    <t>Mamdouh Omar Al Azraq</t>
  </si>
  <si>
    <t>+971 02 83263488</t>
  </si>
  <si>
    <t>Mamdouh.Al Azraq@Rare.com</t>
  </si>
  <si>
    <t>David</t>
  </si>
  <si>
    <t>Trash</t>
  </si>
  <si>
    <t>David Keating Trash</t>
  </si>
  <si>
    <t>+971 04 87283121</t>
  </si>
  <si>
    <t>David.Trash@Rare.com</t>
  </si>
  <si>
    <t>Ronan</t>
  </si>
  <si>
    <t>Gaile</t>
  </si>
  <si>
    <t>Ronan Cowell Gaile</t>
  </si>
  <si>
    <t>+971 04 84836520</t>
  </si>
  <si>
    <t>Ronan.Gaile@Rare.com</t>
  </si>
  <si>
    <t>Stephen</t>
  </si>
  <si>
    <t>Peterson</t>
  </si>
  <si>
    <t>Stephen Gaitley Peterson</t>
  </si>
  <si>
    <t>+971 04 95561665</t>
  </si>
  <si>
    <t>Stephen.Peterson@Rare.com</t>
  </si>
  <si>
    <t>Fernando</t>
  </si>
  <si>
    <t>Segundo</t>
  </si>
  <si>
    <t>Ismail Yusha</t>
  </si>
  <si>
    <t>+971 04 109097536</t>
  </si>
  <si>
    <t>Sunil</t>
  </si>
  <si>
    <t>Tauro</t>
  </si>
  <si>
    <t>Sunil Balasaheb Tauro</t>
  </si>
  <si>
    <t>+971 04 90470484</t>
  </si>
  <si>
    <t>Sunil.Tauro@Rare.com</t>
  </si>
  <si>
    <t>Jay</t>
  </si>
  <si>
    <t>Magboo</t>
  </si>
  <si>
    <t>Jay Salvador Magboo</t>
  </si>
  <si>
    <t>+971 02 96647782</t>
  </si>
  <si>
    <t>Jay.Magboo@Rare.com</t>
  </si>
  <si>
    <t>Julius</t>
  </si>
  <si>
    <t>Reyes</t>
  </si>
  <si>
    <t>Julius Ancaja Reyes</t>
  </si>
  <si>
    <t>+971 02 108074253</t>
  </si>
  <si>
    <t>Julius.Reyes@Rare.com</t>
  </si>
  <si>
    <t>Ramesh</t>
  </si>
  <si>
    <t>Menon</t>
  </si>
  <si>
    <t>Ramesh Vishnu Menon</t>
  </si>
  <si>
    <t>+971 04 67331160</t>
  </si>
  <si>
    <t>Ramesh.Menon@Rare.com</t>
  </si>
  <si>
    <t>Katoch</t>
  </si>
  <si>
    <t>Pradeep Singh Katoch</t>
  </si>
  <si>
    <t>+971 04 85121806</t>
  </si>
  <si>
    <t>Pradeep.Katoch@Rare.com</t>
  </si>
  <si>
    <t>Ata ullah dawood Majid</t>
  </si>
  <si>
    <t>+971 02 121828956</t>
  </si>
  <si>
    <t>Ata ullah.Majid@Rare.com</t>
  </si>
  <si>
    <t>yasser</t>
  </si>
  <si>
    <t>Kamel</t>
  </si>
  <si>
    <t>yasser Ali Kamel</t>
  </si>
  <si>
    <t>+971 02 75307734</t>
  </si>
  <si>
    <t>yasser.Kamel@Rare.com</t>
  </si>
  <si>
    <t>Shazia Hussain Khan</t>
  </si>
  <si>
    <t>+971 04 112716248</t>
  </si>
  <si>
    <t>Aruna.Kondur@Rare.com</t>
  </si>
  <si>
    <t>Walid waleed Ali</t>
  </si>
  <si>
    <t>+971 04 63634500</t>
  </si>
  <si>
    <t>Walid.Ali@Rare.com</t>
  </si>
  <si>
    <t>hosni</t>
  </si>
  <si>
    <t>Shaheen</t>
  </si>
  <si>
    <t>hosni Sad Shaheen</t>
  </si>
  <si>
    <t>+971 02 93997764</t>
  </si>
  <si>
    <t>hosni.Shaheen@Rare.com</t>
  </si>
  <si>
    <t>Ayman</t>
  </si>
  <si>
    <t>Rami</t>
  </si>
  <si>
    <t>Ayman Rami Mohammad</t>
  </si>
  <si>
    <t>+971 04 73975468</t>
  </si>
  <si>
    <t>Ayman.Mohammad@Rare.com</t>
  </si>
  <si>
    <t>Salim</t>
  </si>
  <si>
    <t>Mosa waleed Salim</t>
  </si>
  <si>
    <t>+971 02 122961280</t>
  </si>
  <si>
    <t>Mosa.Salim@Rare.com</t>
  </si>
  <si>
    <t>Salim Mohammad Al Shamsi</t>
  </si>
  <si>
    <t>+971 02 91307232</t>
  </si>
  <si>
    <t>Salim.Al Shamsi@Rare.com</t>
  </si>
  <si>
    <t>Fakhri</t>
  </si>
  <si>
    <t>Fakhri Rauf Mohammad</t>
  </si>
  <si>
    <t>+971 04 100339980</t>
  </si>
  <si>
    <t>Fakhri.Mohammad@Rare.com</t>
  </si>
  <si>
    <t>Rami Habib Al Huda</t>
  </si>
  <si>
    <t>+971 04 101910009</t>
  </si>
  <si>
    <t>Rami.Al Huda@Rare.com</t>
  </si>
  <si>
    <t>Raid</t>
  </si>
  <si>
    <t>Raid Mohammad Mustafa</t>
  </si>
  <si>
    <t>+971 02 118929360</t>
  </si>
  <si>
    <t>Raid.Mustafa@Rare.com</t>
  </si>
  <si>
    <t>Zaabi</t>
  </si>
  <si>
    <t>Raid Hamad Zaabi</t>
  </si>
  <si>
    <t>+971 04 129888864</t>
  </si>
  <si>
    <t>Raid.Zaabi@Rare.com</t>
  </si>
  <si>
    <t>Tahani</t>
  </si>
  <si>
    <t>Tahani Yousef Al Zaraq</t>
  </si>
  <si>
    <t>+971 04 72586192</t>
  </si>
  <si>
    <t>Tahani.Al Zaraq@Rare.com</t>
  </si>
  <si>
    <t>Jabir</t>
  </si>
  <si>
    <t>Ali rami Jabir</t>
  </si>
  <si>
    <t>+971 04 113134590</t>
  </si>
  <si>
    <t>Ali.Jabir@Rare.com</t>
  </si>
  <si>
    <t>Haydar</t>
  </si>
  <si>
    <t>Haydar Riad Al Qubaisi</t>
  </si>
  <si>
    <t>+971 04 75020728</t>
  </si>
  <si>
    <t>Haydar.Al Qubaisi@Rare.com</t>
  </si>
  <si>
    <t>Omran</t>
  </si>
  <si>
    <t>Omran Salah Mohammad</t>
  </si>
  <si>
    <t>+971 02 135836459</t>
  </si>
  <si>
    <t>Omran.Mohammad@Rare.com</t>
  </si>
  <si>
    <t>Shaheen sameer Saleem</t>
  </si>
  <si>
    <t>+971 04 137313450</t>
  </si>
  <si>
    <t>Shaheen.Saleem@Rare.com</t>
  </si>
  <si>
    <t>Gorge</t>
  </si>
  <si>
    <t>Essa</t>
  </si>
  <si>
    <t>Gorge firas Essa</t>
  </si>
  <si>
    <t>+971 04 102479835</t>
  </si>
  <si>
    <t>Gorge.Essa@Rare.com</t>
  </si>
  <si>
    <t>Loyai samer Ibrahim</t>
  </si>
  <si>
    <t>+971 04 100751000</t>
  </si>
  <si>
    <t>Loyai.Ibrahim@Rare.com</t>
  </si>
  <si>
    <t>Saeed</t>
  </si>
  <si>
    <t>Abdullah</t>
  </si>
  <si>
    <t>Saeed Haitham Abdullah</t>
  </si>
  <si>
    <t>+971 04 90049368</t>
  </si>
  <si>
    <t>Saeed.Abdullah@Rare.com</t>
  </si>
  <si>
    <t>Qasim</t>
  </si>
  <si>
    <t>Abdul Aziz Rajab Qasim</t>
  </si>
  <si>
    <t>+971 04 82728348</t>
  </si>
  <si>
    <t>Abdul Aziz.Qasim@Rare.com</t>
  </si>
  <si>
    <t>Najma Shah Heptullah</t>
  </si>
  <si>
    <t>+971 04 133628352</t>
  </si>
  <si>
    <t>Mohan.Ray@Rare.com</t>
  </si>
  <si>
    <t>Robert</t>
  </si>
  <si>
    <t>Aquino</t>
  </si>
  <si>
    <t>Robert Aguinaldo Aquino</t>
  </si>
  <si>
    <t>+971 02 88922016</t>
  </si>
  <si>
    <t>Robert.Aquino@Rare.com</t>
  </si>
  <si>
    <t>Ali Mohammad Al Shamsi</t>
  </si>
  <si>
    <t>+971 04 93593730</t>
  </si>
  <si>
    <t>Ali.Al Shamsi@Rare.com</t>
  </si>
  <si>
    <t>hossam</t>
  </si>
  <si>
    <t>hossam Ali Saeed</t>
  </si>
  <si>
    <t>+971 02 83646028</t>
  </si>
  <si>
    <t>hossam.Saeed@Rare.com</t>
  </si>
  <si>
    <t>Mansour</t>
  </si>
  <si>
    <t>Saad</t>
  </si>
  <si>
    <t>Mansour Yahya Saad</t>
  </si>
  <si>
    <t>+971 04 103647348</t>
  </si>
  <si>
    <t>Mansour.Saad@Rare.com</t>
  </si>
  <si>
    <t>Ahmed Mohammad Khader</t>
  </si>
  <si>
    <t>+971 04 74403152</t>
  </si>
  <si>
    <t>Ahmed.Khader@Rare.com</t>
  </si>
  <si>
    <t>Andhra</t>
  </si>
  <si>
    <t>Arunachal</t>
  </si>
  <si>
    <t>Himachal</t>
  </si>
  <si>
    <t>Jammu</t>
  </si>
  <si>
    <t>Madhya</t>
  </si>
  <si>
    <t>Tamil</t>
  </si>
  <si>
    <t>Uttar</t>
  </si>
  <si>
    <t>West</t>
  </si>
  <si>
    <t>Pradesh</t>
  </si>
  <si>
    <t>Kashmir</t>
  </si>
  <si>
    <t>Nadu</t>
  </si>
  <si>
    <t>Bengal</t>
  </si>
  <si>
    <t>Matthew</t>
  </si>
  <si>
    <t>Tag</t>
  </si>
  <si>
    <t>IsmailOmeiza</t>
  </si>
  <si>
    <t>JenetOlawole</t>
  </si>
  <si>
    <t>Abdul</t>
  </si>
  <si>
    <t>Hari</t>
  </si>
  <si>
    <t>Amit</t>
  </si>
  <si>
    <t>Edison</t>
  </si>
  <si>
    <t>Ata</t>
  </si>
  <si>
    <t>Aruna</t>
  </si>
  <si>
    <t>Mohan</t>
  </si>
  <si>
    <t>KamalT</t>
  </si>
  <si>
    <t>SamPraise</t>
  </si>
  <si>
    <t>Zaidi</t>
  </si>
  <si>
    <t>Kendi</t>
  </si>
  <si>
    <t>Rumaithi</t>
  </si>
  <si>
    <t>Roujoob</t>
  </si>
  <si>
    <t>Hamadi</t>
  </si>
  <si>
    <t>Absolon</t>
  </si>
  <si>
    <t>Iyer</t>
  </si>
  <si>
    <t>Blooki</t>
  </si>
  <si>
    <t>Pathak</t>
  </si>
  <si>
    <t>Mansouri</t>
  </si>
  <si>
    <t>Shamsi</t>
  </si>
  <si>
    <t>Alban</t>
  </si>
  <si>
    <t>Qarni</t>
  </si>
  <si>
    <t>Mehairbi</t>
  </si>
  <si>
    <t>Azraq</t>
  </si>
  <si>
    <t>Kondur</t>
  </si>
  <si>
    <t>Huda</t>
  </si>
  <si>
    <t>Zaraq</t>
  </si>
  <si>
    <t>Qubaisi</t>
  </si>
  <si>
    <t>Ray</t>
  </si>
  <si>
    <t>Employee_name</t>
  </si>
  <si>
    <t>Employee_firstname</t>
  </si>
  <si>
    <t>Employee_lastname</t>
  </si>
  <si>
    <t>gender</t>
  </si>
  <si>
    <t>Age</t>
  </si>
  <si>
    <t>Religion</t>
  </si>
  <si>
    <t>Employee_status</t>
  </si>
  <si>
    <t>s/n</t>
  </si>
  <si>
    <t>Age_range</t>
  </si>
  <si>
    <t>Employee_review</t>
  </si>
  <si>
    <t>53 - 63</t>
  </si>
  <si>
    <t>In_service</t>
  </si>
  <si>
    <t>42 - 52</t>
  </si>
  <si>
    <t>31 - 41</t>
  </si>
  <si>
    <t>Above 63</t>
  </si>
  <si>
    <t>Retrenched</t>
  </si>
  <si>
    <t>20 - 30</t>
  </si>
  <si>
    <t>Distribution Center</t>
  </si>
  <si>
    <t>Count of Employee_name</t>
  </si>
  <si>
    <t>%</t>
  </si>
  <si>
    <t>Here are the used colors</t>
  </si>
  <si>
    <t>card 1</t>
  </si>
  <si>
    <t>card 2</t>
  </si>
  <si>
    <t>Charts 1</t>
  </si>
  <si>
    <t>Charts 2</t>
  </si>
  <si>
    <t>Charts 3</t>
  </si>
  <si>
    <t>Header</t>
  </si>
  <si>
    <t>Body</t>
  </si>
  <si>
    <t>Side bar</t>
  </si>
  <si>
    <t>Status</t>
  </si>
  <si>
    <t>total</t>
  </si>
  <si>
    <t>Mansour Yahya</t>
  </si>
  <si>
    <t>Ahmed Mohammad</t>
  </si>
  <si>
    <t>hossam Ali</t>
  </si>
  <si>
    <t>Dasboard_statement</t>
  </si>
  <si>
    <t>Employee_info</t>
  </si>
  <si>
    <t>compare</t>
  </si>
  <si>
    <t>Analysis</t>
  </si>
  <si>
    <t>punjab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</si>
</sst>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u/>
      <sz val="11"/>
      <color theme="10"/>
      <name val="Calibri"/>
      <family val="2"/>
    </font>
    <font>
      <sz val="11"/>
      <name val="Calibri"/>
      <family val="2"/>
    </font>
    <font>
      <b/>
      <sz val="14"/>
      <name val="Calibri"/>
      <family val="2"/>
    </font>
    <font>
      <sz val="11"/>
      <color theme="1" tint="0.249977111117893"/>
      <name val="Calibri"/>
      <family val="2"/>
      <scheme val="minor"/>
    </font>
    <font>
      <b/>
      <sz val="11"/>
      <color theme="1"/>
      <name val="Calibri"/>
      <family val="2"/>
    </font>
    <font>
      <b/>
      <sz val="11"/>
      <color rgb="FF262626"/>
      <name val="Calibri"/>
      <family val="2"/>
    </font>
  </fonts>
  <fills count="18">
    <fill>
      <patternFill patternType="none"/>
    </fill>
    <fill>
      <patternFill patternType="gray125"/>
    </fill>
    <fill>
      <patternFill patternType="solid">
        <fgColor rgb="FF121420"/>
        <bgColor rgb="FF121420"/>
      </patternFill>
    </fill>
    <fill>
      <patternFill patternType="solid">
        <fgColor theme="2"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D8D8D8"/>
        <bgColor rgb="FFD8D8D8"/>
      </patternFill>
    </fill>
    <fill>
      <patternFill patternType="solid">
        <fgColor theme="0"/>
        <bgColor theme="0"/>
      </patternFill>
    </fill>
    <fill>
      <patternFill patternType="solid">
        <fgColor rgb="FF141420"/>
        <bgColor rgb="FF141420"/>
      </patternFill>
    </fill>
    <fill>
      <patternFill patternType="solid">
        <fgColor rgb="FF9ACEEE"/>
        <bgColor rgb="FF9ACEEE"/>
      </patternFill>
    </fill>
    <fill>
      <patternFill patternType="solid">
        <fgColor rgb="FF91331D"/>
        <bgColor rgb="FF91331D"/>
      </patternFill>
    </fill>
    <fill>
      <patternFill patternType="solid">
        <fgColor rgb="FF758A33"/>
        <bgColor rgb="FF758A33"/>
      </patternFill>
    </fill>
    <fill>
      <patternFill patternType="solid">
        <fgColor rgb="FF393656"/>
        <bgColor rgb="FF393656"/>
      </patternFill>
    </fill>
    <fill>
      <patternFill patternType="solid">
        <fgColor rgb="FF20202A"/>
        <bgColor rgb="FF20202A"/>
      </patternFill>
    </fill>
    <fill>
      <patternFill patternType="solid">
        <fgColor rgb="FF17121F"/>
        <bgColor rgb="FF17121F"/>
      </patternFill>
    </fill>
    <fill>
      <patternFill patternType="solid">
        <fgColor theme="9" tint="0.39997558519241921"/>
        <bgColor indexed="64"/>
      </patternFill>
    </fill>
    <fill>
      <patternFill patternType="solid">
        <fgColor rgb="FFEE2868"/>
        <bgColor indexed="64"/>
      </patternFill>
    </fill>
    <fill>
      <patternFill patternType="solid">
        <fgColor rgb="FF30726A"/>
        <bgColor indexed="64"/>
      </patternFill>
    </fill>
  </fills>
  <borders count="16">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2">
    <xf numFmtId="0" fontId="0" fillId="0" borderId="0" xfId="0"/>
    <xf numFmtId="0" fontId="3" fillId="0" borderId="0" xfId="0" applyFont="1"/>
    <xf numFmtId="0" fontId="1" fillId="0" borderId="0" xfId="0" applyFont="1"/>
    <xf numFmtId="0" fontId="4" fillId="0" borderId="0" xfId="0" applyFont="1"/>
    <xf numFmtId="0" fontId="5" fillId="0" borderId="0" xfId="0" applyFont="1"/>
    <xf numFmtId="0" fontId="6" fillId="0" borderId="0" xfId="0" applyFont="1"/>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4" borderId="0" xfId="0" applyFill="1" applyAlignment="1">
      <alignment horizontal="center" vertical="center"/>
    </xf>
    <xf numFmtId="0" fontId="2" fillId="4" borderId="1" xfId="0" applyFont="1" applyFill="1" applyBorder="1" applyAlignment="1">
      <alignment horizontal="center" vertical="center"/>
    </xf>
    <xf numFmtId="0" fontId="7" fillId="4" borderId="0" xfId="0" applyFont="1" applyFill="1" applyAlignment="1">
      <alignment horizontal="center" vertical="center"/>
    </xf>
    <xf numFmtId="0" fontId="7" fillId="5" borderId="0" xfId="0" applyFont="1" applyFill="1" applyAlignment="1">
      <alignment horizontal="center" vertical="center"/>
    </xf>
    <xf numFmtId="0" fontId="0" fillId="0" borderId="0" xfId="0" pivotButton="1"/>
    <xf numFmtId="0" fontId="8" fillId="7" borderId="0" xfId="0" applyFont="1" applyFill="1" applyAlignment="1">
      <alignment horizontal="center"/>
    </xf>
    <xf numFmtId="0" fontId="9" fillId="0" borderId="0" xfId="0" applyFont="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3" fillId="12" borderId="0" xfId="0" applyFont="1" applyFill="1"/>
    <xf numFmtId="0" fontId="3" fillId="2" borderId="0" xfId="0" applyFont="1" applyFill="1"/>
    <xf numFmtId="0" fontId="3" fillId="13" borderId="0" xfId="0" applyFont="1" applyFill="1"/>
    <xf numFmtId="0" fontId="3" fillId="14" borderId="0" xfId="0" applyFont="1" applyFill="1"/>
    <xf numFmtId="0" fontId="0" fillId="0" borderId="2" xfId="0" applyBorder="1"/>
    <xf numFmtId="0" fontId="0" fillId="0" borderId="11" xfId="0" applyBorder="1"/>
    <xf numFmtId="0" fontId="0" fillId="0" borderId="12" xfId="0" applyBorder="1"/>
    <xf numFmtId="0" fontId="0" fillId="0" borderId="3" xfId="0" pivotButton="1" applyBorder="1"/>
    <xf numFmtId="0" fontId="0" fillId="0" borderId="5" xfId="0" applyBorder="1"/>
    <xf numFmtId="0" fontId="0" fillId="0" borderId="6" xfId="0" applyBorder="1"/>
    <xf numFmtId="9" fontId="0" fillId="0" borderId="7" xfId="0" applyNumberFormat="1" applyBorder="1"/>
    <xf numFmtId="0" fontId="0" fillId="0" borderId="8" xfId="0" applyBorder="1"/>
    <xf numFmtId="9" fontId="0" fillId="0" borderId="10" xfId="0" applyNumberFormat="1" applyBorder="1"/>
    <xf numFmtId="0" fontId="0" fillId="0" borderId="7" xfId="0" applyBorder="1"/>
    <xf numFmtId="0" fontId="0" fillId="0" borderId="10" xfId="0" applyBorder="1"/>
    <xf numFmtId="0" fontId="0" fillId="0" borderId="13" xfId="0" applyBorder="1"/>
    <xf numFmtId="0" fontId="0" fillId="0" borderId="2" xfId="0" pivotButton="1" applyBorder="1"/>
    <xf numFmtId="0" fontId="0" fillId="0" borderId="14" xfId="0" applyBorder="1"/>
    <xf numFmtId="0" fontId="0" fillId="0" borderId="15" xfId="0" applyBorder="1"/>
    <xf numFmtId="0" fontId="0" fillId="0" borderId="3" xfId="0" applyBorder="1"/>
    <xf numFmtId="0" fontId="0" fillId="15" borderId="0" xfId="0" applyFill="1" applyAlignment="1">
      <alignment horizontal="center" vertical="center"/>
    </xf>
    <xf numFmtId="0" fontId="0" fillId="16" borderId="0" xfId="0" applyFill="1"/>
    <xf numFmtId="0" fontId="0" fillId="17" borderId="0" xfId="0" applyFill="1"/>
    <xf numFmtId="0" fontId="8" fillId="6" borderId="0" xfId="0" applyFont="1" applyFill="1" applyAlignment="1">
      <alignment horizontal="center"/>
    </xf>
    <xf numFmtId="0" fontId="5" fillId="0" borderId="0" xfId="0" applyFont="1"/>
    <xf numFmtId="0" fontId="0" fillId="3" borderId="0" xfId="0" applyFill="1" applyBorder="1"/>
  </cellXfs>
  <cellStyles count="1">
    <cellStyle name="Normal" xfId="0" builtinId="0"/>
  </cellStyles>
  <dxfs count="96">
    <dxf>
      <font>
        <b/>
        <i val="0"/>
        <color theme="0" tint="-0.14996795556505021"/>
      </font>
      <fill>
        <patternFill patternType="none">
          <fgColor indexed="64"/>
          <bgColor auto="1"/>
        </patternFill>
      </fill>
      <border>
        <left/>
        <right/>
        <top/>
        <bottom/>
        <vertical/>
        <horizontal/>
      </border>
    </dxf>
    <dxf>
      <font>
        <b/>
        <i val="0"/>
        <color auto="1"/>
      </font>
      <border>
        <left/>
        <right/>
        <top/>
        <bottom/>
        <vertical/>
        <horizontal/>
      </border>
    </dxf>
    <dxf>
      <font>
        <b/>
        <i val="0"/>
      </font>
      <fill>
        <patternFill>
          <bgColor rgb="FFFF3399"/>
        </patternFill>
      </fill>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outline val="0"/>
        <shadow val="0"/>
        <u val="none"/>
        <vertAlign val="baseline"/>
        <sz val="11"/>
        <color theme="1" tint="0.249977111117893"/>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theme="1" tint="0.249977111117893"/>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bottom style="thin">
          <color indexed="64"/>
        </bottom>
      </border>
    </dxf>
    <dxf>
      <font>
        <b/>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none"/>
      </font>
      <fill>
        <patternFill patternType="none">
          <fgColor indexed="64"/>
          <bgColor indexed="65"/>
        </patternFill>
      </fill>
    </dxf>
    <dxf>
      <font>
        <b/>
        <color theme="1"/>
      </font>
      <border>
        <bottom style="thin">
          <color theme="4"/>
        </bottom>
        <vertical/>
        <horizontal/>
      </border>
    </dxf>
    <dxf>
      <font>
        <sz val="10"/>
        <color theme="1"/>
      </font>
      <fill>
        <patternFill patternType="solid">
          <bgColor theme="0" tint="-0.34998626667073579"/>
        </patternFill>
      </fill>
      <border diagonalUp="0" diagonalDown="0">
        <left/>
        <right/>
        <top/>
        <bottom/>
        <vertical/>
        <horizontal/>
      </border>
    </dxf>
    <dxf>
      <font>
        <sz val="11"/>
      </font>
      <fill>
        <patternFill patternType="solid">
          <bgColor theme="0" tint="-0.499984740745262"/>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3" defaultTableStyle="TableStyleMedium2" defaultPivotStyle="PivotStyleLight16">
    <tableStyle name="my_Slicerstle" pivot="0" table="0" count="1" xr9:uid="{E45D9311-27D3-4B22-833A-C7D29D29594F}">
      <tableStyleElement type="wholeTable" dxfId="95"/>
    </tableStyle>
    <tableStyle name="Slicer Style 1" pivot="0" table="0" count="1" xr9:uid="{5FE45D9B-D706-45B8-8B4F-17F8F8ABE503}">
      <tableStyleElement type="wholeTable" dxfId="94"/>
    </tableStyle>
    <tableStyle name="SlicerStyleLight1 2" pivot="0" table="0" count="10" xr9:uid="{AF957835-4760-44D3-A985-25CAB0CB2483}">
      <tableStyleElement type="wholeTable" dxfId="93"/>
      <tableStyleElement type="headerRow" dxfId="92"/>
    </tableStyle>
  </tableStyles>
  <colors>
    <mruColors>
      <color rgb="FFF82868"/>
      <color rgb="FFFF3399"/>
      <color rgb="FFEE2868"/>
      <color rgb="FF17121F"/>
      <color rgb="FF30726A"/>
      <color rgb="FF39365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licerstle"/>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393656"/>
            </a:solidFill>
            <a:ln>
              <a:noFill/>
            </a:ln>
          </c:spPr>
          <c:dPt>
            <c:idx val="0"/>
            <c:bubble3D val="0"/>
            <c:spPr>
              <a:solidFill>
                <a:schemeClr val="bg1">
                  <a:lumMod val="95000"/>
                  <a:alpha val="27000"/>
                </a:schemeClr>
              </a:solidFill>
              <a:ln w="19050">
                <a:noFill/>
              </a:ln>
              <a:effectLst/>
            </c:spPr>
            <c:extLst>
              <c:ext xmlns:c16="http://schemas.microsoft.com/office/drawing/2014/chart" uri="{C3380CC4-5D6E-409C-BE32-E72D297353CC}">
                <c16:uniqueId val="{00000001-9D50-4A98-8FA4-29CEC717F2D9}"/>
              </c:ext>
            </c:extLst>
          </c:dPt>
          <c:dPt>
            <c:idx val="1"/>
            <c:bubble3D val="0"/>
            <c:spPr>
              <a:solidFill>
                <a:srgbClr val="F82868"/>
              </a:solidFill>
              <a:ln w="19050">
                <a:noFill/>
              </a:ln>
              <a:effectLst/>
            </c:spPr>
            <c:extLst>
              <c:ext xmlns:c16="http://schemas.microsoft.com/office/drawing/2014/chart" uri="{C3380CC4-5D6E-409C-BE32-E72D297353CC}">
                <c16:uniqueId val="{00000003-9D50-4A98-8FA4-29CEC717F2D9}"/>
              </c:ext>
            </c:extLst>
          </c:dPt>
          <c:val>
            <c:numRef>
              <c:f>Analysis!$F$3:$F$4</c:f>
              <c:numCache>
                <c:formatCode>0%</c:formatCode>
                <c:ptCount val="2"/>
                <c:pt idx="0">
                  <c:v>0.2185430463576159</c:v>
                </c:pt>
                <c:pt idx="1">
                  <c:v>0.7814569536423841</c:v>
                </c:pt>
              </c:numCache>
            </c:numRef>
          </c:val>
          <c:extLst>
            <c:ext xmlns:c16="http://schemas.microsoft.com/office/drawing/2014/chart" uri="{C3380CC4-5D6E-409C-BE32-E72D297353CC}">
              <c16:uniqueId val="{00000004-9D50-4A98-8FA4-29CEC717F2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30726A"/>
            </a:solidFill>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9D50-4A98-8FA4-29CEC717F2D9}"/>
              </c:ext>
            </c:extLst>
          </c:dPt>
          <c:dPt>
            <c:idx val="1"/>
            <c:bubble3D val="0"/>
            <c:spPr>
              <a:solidFill>
                <a:schemeClr val="bg1">
                  <a:lumMod val="95000"/>
                  <a:alpha val="20000"/>
                </a:schemeClr>
              </a:solidFill>
              <a:ln w="19050">
                <a:noFill/>
              </a:ln>
              <a:effectLst/>
            </c:spPr>
            <c:extLst>
              <c:ext xmlns:c16="http://schemas.microsoft.com/office/drawing/2014/chart" uri="{C3380CC4-5D6E-409C-BE32-E72D297353CC}">
                <c16:uniqueId val="{00000003-9D50-4A98-8FA4-29CEC717F2D9}"/>
              </c:ext>
            </c:extLst>
          </c:dPt>
          <c:val>
            <c:numRef>
              <c:f>Analysis!$F$3:$F$4</c:f>
              <c:numCache>
                <c:formatCode>0%</c:formatCode>
                <c:ptCount val="2"/>
                <c:pt idx="0">
                  <c:v>0.2185430463576159</c:v>
                </c:pt>
                <c:pt idx="1">
                  <c:v>0.7814569536423841</c:v>
                </c:pt>
              </c:numCache>
            </c:numRef>
          </c:val>
          <c:extLst>
            <c:ext xmlns:c16="http://schemas.microsoft.com/office/drawing/2014/chart" uri="{C3380CC4-5D6E-409C-BE32-E72D297353CC}">
              <c16:uniqueId val="{00000004-9D50-4A98-8FA4-29CEC717F2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[Hrdata.xlsx]Analysis!Religion</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533845899733E-2"/>
          <c:y val="0.24043839992289448"/>
          <c:w val="0.87356293230820048"/>
          <c:h val="0.324605608737707"/>
        </c:manualLayout>
      </c:layout>
      <c:barChart>
        <c:barDir val="col"/>
        <c:grouping val="clustered"/>
        <c:varyColors val="0"/>
        <c:ser>
          <c:idx val="0"/>
          <c:order val="0"/>
          <c:tx>
            <c:strRef>
              <c:f>Analysis!$L$2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Analysis!$K$3:$K$5</c:f>
              <c:strCache>
                <c:ptCount val="3"/>
                <c:pt idx="0">
                  <c:v>Christian</c:v>
                </c:pt>
                <c:pt idx="1">
                  <c:v>Hindu </c:v>
                </c:pt>
                <c:pt idx="2">
                  <c:v>Muslim</c:v>
                </c:pt>
              </c:strCache>
            </c:strRef>
          </c:cat>
          <c:val>
            <c:numRef>
              <c:f>Analysis!$L$3:$L$5</c:f>
              <c:numCache>
                <c:formatCode>General</c:formatCode>
                <c:ptCount val="3"/>
                <c:pt idx="0">
                  <c:v>41</c:v>
                </c:pt>
                <c:pt idx="1">
                  <c:v>17</c:v>
                </c:pt>
                <c:pt idx="2">
                  <c:v>93</c:v>
                </c:pt>
              </c:numCache>
            </c:numRef>
          </c:val>
          <c:extLst>
            <c:ext xmlns:c16="http://schemas.microsoft.com/office/drawing/2014/chart" uri="{C3380CC4-5D6E-409C-BE32-E72D297353CC}">
              <c16:uniqueId val="{00000001-0D3F-4E37-923B-7BA7EC321008}"/>
            </c:ext>
          </c:extLst>
        </c:ser>
        <c:dLbls>
          <c:dLblPos val="outEnd"/>
          <c:showLegendKey val="0"/>
          <c:showVal val="1"/>
          <c:showCatName val="0"/>
          <c:showSerName val="0"/>
          <c:showPercent val="0"/>
          <c:showBubbleSize val="0"/>
        </c:dLbls>
        <c:gapWidth val="219"/>
        <c:overlap val="-27"/>
        <c:axId val="662164447"/>
        <c:axId val="662159871"/>
      </c:barChart>
      <c:catAx>
        <c:axId val="662164447"/>
        <c:scaling>
          <c:orientation val="minMax"/>
        </c:scaling>
        <c:delete val="0"/>
        <c:axPos val="b"/>
        <c:numFmt formatCode="General" sourceLinked="1"/>
        <c:majorTickMark val="none"/>
        <c:minorTickMark val="none"/>
        <c:tickLblPos val="low"/>
        <c:spPr>
          <a:noFill/>
          <a:ln w="9525" cap="flat" cmpd="sng" algn="ctr">
            <a:solidFill>
              <a:schemeClr val="bg1"/>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62159871"/>
        <c:crosses val="autoZero"/>
        <c:auto val="1"/>
        <c:lblAlgn val="ctr"/>
        <c:lblOffset val="95"/>
        <c:noMultiLvlLbl val="0"/>
      </c:catAx>
      <c:valAx>
        <c:axId val="662159871"/>
        <c:scaling>
          <c:orientation val="minMax"/>
        </c:scaling>
        <c:delete val="1"/>
        <c:axPos val="l"/>
        <c:numFmt formatCode="General" sourceLinked="1"/>
        <c:majorTickMark val="none"/>
        <c:minorTickMark val="none"/>
        <c:tickLblPos val="nextTo"/>
        <c:crossAx val="66216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[Hrdata.xlsx]Analysis!Designation</c:name>
    <c:fmtId val="11"/>
  </c:pivotSource>
  <c:chart>
    <c:autoTitleDeleted val="1"/>
    <c:pivotFmts>
      <c:pivotFmt>
        <c:idx val="0"/>
        <c:spPr>
          <a:gradFill>
            <a:gsLst>
              <a:gs pos="15000">
                <a:srgbClr val="30726A"/>
              </a:gs>
              <a:gs pos="81000">
                <a:schemeClr val="accent3">
                  <a:lumMod val="30000"/>
                  <a:lumOff val="70000"/>
                </a:schemeClr>
              </a:gs>
            </a:gsLst>
            <a:lin ang="5400000" scaled="1"/>
          </a:gra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5000">
                <a:srgbClr val="30726A"/>
              </a:gs>
              <a:gs pos="81000">
                <a:schemeClr val="accent3">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2000">
                <a:srgbClr val="30726A"/>
              </a:gs>
              <a:gs pos="89000">
                <a:srgbClr val="B7C8C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Analysis!$I$30</c:f>
              <c:strCache>
                <c:ptCount val="1"/>
                <c:pt idx="0">
                  <c:v>Total</c:v>
                </c:pt>
              </c:strCache>
            </c:strRef>
          </c:tx>
          <c:spPr>
            <a:gradFill>
              <a:gsLst>
                <a:gs pos="62000">
                  <a:srgbClr val="30726A"/>
                </a:gs>
                <a:gs pos="89000">
                  <a:srgbClr val="B7C8C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Analysis!$H$31:$H$39</c:f>
              <c:strCache>
                <c:ptCount val="9"/>
                <c:pt idx="0">
                  <c:v>Chief Executive</c:v>
                </c:pt>
                <c:pt idx="1">
                  <c:v>Senior Manager</c:v>
                </c:pt>
                <c:pt idx="2">
                  <c:v>President</c:v>
                </c:pt>
                <c:pt idx="3">
                  <c:v>Senior Officer</c:v>
                </c:pt>
                <c:pt idx="4">
                  <c:v>Executive</c:v>
                </c:pt>
                <c:pt idx="5">
                  <c:v>Senior Executive</c:v>
                </c:pt>
                <c:pt idx="6">
                  <c:v>Manager</c:v>
                </c:pt>
                <c:pt idx="7">
                  <c:v>Officer</c:v>
                </c:pt>
                <c:pt idx="8">
                  <c:v>Staff</c:v>
                </c:pt>
              </c:strCache>
            </c:strRef>
          </c:cat>
          <c:val>
            <c:numRef>
              <c:f>Analysis!$I$31:$I$39</c:f>
              <c:numCache>
                <c:formatCode>General</c:formatCode>
                <c:ptCount val="9"/>
                <c:pt idx="0">
                  <c:v>1</c:v>
                </c:pt>
                <c:pt idx="1">
                  <c:v>2</c:v>
                </c:pt>
                <c:pt idx="2">
                  <c:v>3</c:v>
                </c:pt>
                <c:pt idx="3">
                  <c:v>17</c:v>
                </c:pt>
                <c:pt idx="4">
                  <c:v>18</c:v>
                </c:pt>
                <c:pt idx="5">
                  <c:v>21</c:v>
                </c:pt>
                <c:pt idx="6">
                  <c:v>23</c:v>
                </c:pt>
                <c:pt idx="7">
                  <c:v>29</c:v>
                </c:pt>
                <c:pt idx="8">
                  <c:v>37</c:v>
                </c:pt>
              </c:numCache>
            </c:numRef>
          </c:val>
          <c:extLst>
            <c:ext xmlns:c16="http://schemas.microsoft.com/office/drawing/2014/chart" uri="{C3380CC4-5D6E-409C-BE32-E72D297353CC}">
              <c16:uniqueId val="{00000000-5D36-4172-9FE6-30EB8E0FDA97}"/>
            </c:ext>
          </c:extLst>
        </c:ser>
        <c:dLbls>
          <c:showLegendKey val="0"/>
          <c:showVal val="0"/>
          <c:showCatName val="0"/>
          <c:showSerName val="0"/>
          <c:showPercent val="0"/>
          <c:showBubbleSize val="0"/>
        </c:dLbls>
        <c:gapWidth val="79"/>
        <c:axId val="550660735"/>
        <c:axId val="550674879"/>
      </c:barChart>
      <c:catAx>
        <c:axId val="55066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0674879"/>
        <c:crosses val="autoZero"/>
        <c:auto val="1"/>
        <c:lblAlgn val="ctr"/>
        <c:lblOffset val="100"/>
        <c:noMultiLvlLbl val="0"/>
      </c:catAx>
      <c:valAx>
        <c:axId val="550674879"/>
        <c:scaling>
          <c:orientation val="minMax"/>
        </c:scaling>
        <c:delete val="1"/>
        <c:axPos val="b"/>
        <c:numFmt formatCode="General" sourceLinked="1"/>
        <c:majorTickMark val="none"/>
        <c:minorTickMark val="none"/>
        <c:tickLblPos val="nextTo"/>
        <c:crossAx val="5506607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18223059899334"/>
          <c:y val="0"/>
          <c:w val="0.51246030438835288"/>
          <c:h val="0.81936594853170608"/>
        </c:manualLayout>
      </c:layout>
      <c:doughnutChart>
        <c:varyColors val="1"/>
        <c:ser>
          <c:idx val="0"/>
          <c:order val="0"/>
          <c:tx>
            <c:strRef>
              <c:f>Analysis!$L$13</c:f>
              <c:strCache>
                <c:ptCount val="1"/>
                <c:pt idx="0">
                  <c:v>Count of Employee_name</c:v>
                </c:pt>
              </c:strCache>
            </c:strRef>
          </c:tx>
          <c:spPr>
            <a:ln>
              <a:noFill/>
            </a:ln>
          </c:spPr>
          <c:explosion val="2"/>
          <c:dPt>
            <c:idx val="0"/>
            <c:bubble3D val="0"/>
            <c:spPr>
              <a:solidFill>
                <a:srgbClr val="30726A"/>
              </a:solidFill>
              <a:ln w="19050">
                <a:noFill/>
              </a:ln>
              <a:effectLst/>
            </c:spPr>
            <c:extLst>
              <c:ext xmlns:c16="http://schemas.microsoft.com/office/drawing/2014/chart" uri="{C3380CC4-5D6E-409C-BE32-E72D297353CC}">
                <c16:uniqueId val="{00000001-721C-43DE-81B4-261B54A96CB6}"/>
              </c:ext>
            </c:extLst>
          </c:dPt>
          <c:dPt>
            <c:idx val="1"/>
            <c:bubble3D val="0"/>
            <c:spPr>
              <a:solidFill>
                <a:schemeClr val="accent2"/>
              </a:solidFill>
              <a:ln w="19050">
                <a:noFill/>
              </a:ln>
              <a:effectLst/>
            </c:spPr>
            <c:extLst>
              <c:ext xmlns:c16="http://schemas.microsoft.com/office/drawing/2014/chart" uri="{C3380CC4-5D6E-409C-BE32-E72D297353CC}">
                <c16:uniqueId val="{00000003-721C-43DE-81B4-261B54A96CB6}"/>
              </c:ext>
            </c:extLst>
          </c:dPt>
          <c:dPt>
            <c:idx val="2"/>
            <c:bubble3D val="0"/>
            <c:explosion val="3"/>
            <c:spPr>
              <a:solidFill>
                <a:srgbClr val="F82868"/>
              </a:solidFill>
              <a:ln w="19050">
                <a:noFill/>
              </a:ln>
              <a:effectLst/>
            </c:spPr>
            <c:extLst>
              <c:ext xmlns:c16="http://schemas.microsoft.com/office/drawing/2014/chart" uri="{C3380CC4-5D6E-409C-BE32-E72D297353CC}">
                <c16:uniqueId val="{00000005-721C-43DE-81B4-261B54A96C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Analysis!$K$14:$K$16</c:f>
              <c:strCache>
                <c:ptCount val="3"/>
                <c:pt idx="0">
                  <c:v>Frozen Food</c:v>
                </c:pt>
                <c:pt idx="1">
                  <c:v>Non-Frozen Food</c:v>
                </c:pt>
                <c:pt idx="2">
                  <c:v>Shared Services</c:v>
                </c:pt>
              </c:strCache>
            </c:strRef>
          </c:cat>
          <c:val>
            <c:numRef>
              <c:f>Analysis!$L$14:$L$16</c:f>
              <c:numCache>
                <c:formatCode>General</c:formatCode>
                <c:ptCount val="3"/>
                <c:pt idx="0">
                  <c:v>63</c:v>
                </c:pt>
                <c:pt idx="1">
                  <c:v>71</c:v>
                </c:pt>
                <c:pt idx="2">
                  <c:v>17</c:v>
                </c:pt>
              </c:numCache>
            </c:numRef>
          </c:val>
          <c:extLst>
            <c:ext xmlns:c16="http://schemas.microsoft.com/office/drawing/2014/chart" uri="{C3380CC4-5D6E-409C-BE32-E72D297353CC}">
              <c16:uniqueId val="{00000006-721C-43DE-81B4-261B54A96CB6}"/>
            </c:ext>
          </c:extLst>
        </c:ser>
        <c:dLbls>
          <c:showLegendKey val="0"/>
          <c:showVal val="1"/>
          <c:showCatName val="0"/>
          <c:showSerName val="0"/>
          <c:showPercent val="0"/>
          <c:showBubbleSize val="0"/>
          <c:showLeaderLines val="1"/>
        </c:dLbls>
        <c:firstSliceAng val="0"/>
        <c:holeSize val="9"/>
      </c:doughnutChart>
      <c:spPr>
        <a:noFill/>
        <a:ln>
          <a:noFill/>
        </a:ln>
        <a:effectLst/>
      </c:spPr>
    </c:plotArea>
    <c:legend>
      <c:legendPos val="b"/>
      <c:layout>
        <c:manualLayout>
          <c:xMode val="edge"/>
          <c:yMode val="edge"/>
          <c:x val="5.8568940773542244E-2"/>
          <c:y val="0.81811630179608419"/>
          <c:w val="0.81430998501441543"/>
          <c:h val="0.12482235726240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[Hrdata.xlsx]Analysis!Age_range</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0726A"/>
          </a:solidFill>
          <a:ln w="19050">
            <a:noFill/>
          </a:ln>
          <a:effectLst/>
        </c:spPr>
      </c:pivotFmt>
      <c:pivotFmt>
        <c:idx val="9"/>
        <c:spPr>
          <a:solidFill>
            <a:schemeClr val="accent1"/>
          </a:solidFill>
          <a:ln w="19050">
            <a:noFill/>
          </a:ln>
          <a:effectLst/>
        </c:spPr>
      </c:pivotFmt>
      <c:pivotFmt>
        <c:idx val="10"/>
        <c:spPr>
          <a:solidFill>
            <a:srgbClr val="0070C0"/>
          </a:solidFill>
          <a:ln w="19050">
            <a:noFill/>
          </a:ln>
          <a:effectLst/>
        </c:spPr>
      </c:pivotFmt>
      <c:pivotFmt>
        <c:idx val="11"/>
        <c:spPr>
          <a:solidFill>
            <a:srgbClr val="F82868"/>
          </a:solidFill>
          <a:ln w="19050">
            <a:noFill/>
          </a:ln>
          <a:effectLst/>
        </c:spPr>
      </c:pivotFmt>
      <c:pivotFmt>
        <c:idx val="12"/>
        <c:spPr>
          <a:solidFill>
            <a:srgbClr val="393656"/>
          </a:solidFill>
          <a:ln w="19050">
            <a:noFill/>
          </a:ln>
          <a:effectLst/>
        </c:spPr>
      </c:pivotFmt>
    </c:pivotFmts>
    <c:plotArea>
      <c:layout/>
      <c:doughnutChart>
        <c:varyColors val="1"/>
        <c:ser>
          <c:idx val="0"/>
          <c:order val="0"/>
          <c:tx>
            <c:strRef>
              <c:f>Analysis!$L$30</c:f>
              <c:strCache>
                <c:ptCount val="1"/>
                <c:pt idx="0">
                  <c:v>Total</c:v>
                </c:pt>
              </c:strCache>
            </c:strRef>
          </c:tx>
          <c:spPr>
            <a:ln>
              <a:noFill/>
            </a:ln>
          </c:spPr>
          <c:dPt>
            <c:idx val="0"/>
            <c:bubble3D val="0"/>
            <c:spPr>
              <a:solidFill>
                <a:srgbClr val="30726A"/>
              </a:solidFill>
              <a:ln w="19050">
                <a:noFill/>
              </a:ln>
              <a:effectLst/>
            </c:spPr>
            <c:extLst>
              <c:ext xmlns:c16="http://schemas.microsoft.com/office/drawing/2014/chart" uri="{C3380CC4-5D6E-409C-BE32-E72D297353CC}">
                <c16:uniqueId val="{00000001-44C4-4348-B994-3D5176CAE9D7}"/>
              </c:ext>
            </c:extLst>
          </c:dPt>
          <c:dPt>
            <c:idx val="1"/>
            <c:bubble3D val="0"/>
            <c:spPr>
              <a:solidFill>
                <a:schemeClr val="accent2"/>
              </a:solidFill>
              <a:ln w="19050">
                <a:noFill/>
              </a:ln>
              <a:effectLst/>
            </c:spPr>
            <c:extLst>
              <c:ext xmlns:c16="http://schemas.microsoft.com/office/drawing/2014/chart" uri="{C3380CC4-5D6E-409C-BE32-E72D297353CC}">
                <c16:uniqueId val="{00000003-44C4-4348-B994-3D5176CAE9D7}"/>
              </c:ext>
            </c:extLst>
          </c:dPt>
          <c:dPt>
            <c:idx val="2"/>
            <c:bubble3D val="0"/>
            <c:spPr>
              <a:solidFill>
                <a:srgbClr val="0070C0"/>
              </a:solidFill>
              <a:ln w="19050">
                <a:noFill/>
              </a:ln>
              <a:effectLst/>
            </c:spPr>
            <c:extLst>
              <c:ext xmlns:c16="http://schemas.microsoft.com/office/drawing/2014/chart" uri="{C3380CC4-5D6E-409C-BE32-E72D297353CC}">
                <c16:uniqueId val="{00000005-44C4-4348-B994-3D5176CAE9D7}"/>
              </c:ext>
            </c:extLst>
          </c:dPt>
          <c:dPt>
            <c:idx val="3"/>
            <c:bubble3D val="0"/>
            <c:spPr>
              <a:solidFill>
                <a:srgbClr val="F82868"/>
              </a:solidFill>
              <a:ln w="19050">
                <a:noFill/>
              </a:ln>
              <a:effectLst/>
            </c:spPr>
            <c:extLst>
              <c:ext xmlns:c16="http://schemas.microsoft.com/office/drawing/2014/chart" uri="{C3380CC4-5D6E-409C-BE32-E72D297353CC}">
                <c16:uniqueId val="{00000007-44C4-4348-B994-3D5176CAE9D7}"/>
              </c:ext>
            </c:extLst>
          </c:dPt>
          <c:dPt>
            <c:idx val="4"/>
            <c:bubble3D val="0"/>
            <c:spPr>
              <a:solidFill>
                <a:srgbClr val="393656"/>
              </a:solidFill>
              <a:ln w="19050">
                <a:noFill/>
              </a:ln>
              <a:effectLst/>
            </c:spPr>
            <c:extLst>
              <c:ext xmlns:c16="http://schemas.microsoft.com/office/drawing/2014/chart" uri="{C3380CC4-5D6E-409C-BE32-E72D297353CC}">
                <c16:uniqueId val="{00000009-44C4-4348-B994-3D5176CAE9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Analysis!$K$31:$K$35</c:f>
              <c:strCache>
                <c:ptCount val="5"/>
                <c:pt idx="0">
                  <c:v>20 - 30</c:v>
                </c:pt>
                <c:pt idx="1">
                  <c:v>31 - 41</c:v>
                </c:pt>
                <c:pt idx="2">
                  <c:v>42 - 52</c:v>
                </c:pt>
                <c:pt idx="3">
                  <c:v>53 - 63</c:v>
                </c:pt>
                <c:pt idx="4">
                  <c:v>Above 63</c:v>
                </c:pt>
              </c:strCache>
            </c:strRef>
          </c:cat>
          <c:val>
            <c:numRef>
              <c:f>Analysis!$L$31:$L$35</c:f>
              <c:numCache>
                <c:formatCode>General</c:formatCode>
                <c:ptCount val="5"/>
                <c:pt idx="0">
                  <c:v>26</c:v>
                </c:pt>
                <c:pt idx="1">
                  <c:v>32</c:v>
                </c:pt>
                <c:pt idx="2">
                  <c:v>43</c:v>
                </c:pt>
                <c:pt idx="3">
                  <c:v>34</c:v>
                </c:pt>
                <c:pt idx="4">
                  <c:v>16</c:v>
                </c:pt>
              </c:numCache>
            </c:numRef>
          </c:val>
          <c:extLst>
            <c:ext xmlns:c16="http://schemas.microsoft.com/office/drawing/2014/chart" uri="{C3380CC4-5D6E-409C-BE32-E72D297353CC}">
              <c16:uniqueId val="{0000000A-44C4-4348-B994-3D5176CAE9D7}"/>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02BC9EE-D3D4-4CC8-A69C-6332CF02041D}">
          <cx:tx>
            <cx:txData>
              <cx:f>_xlchart.v2.1</cx:f>
              <cx:v>Count of Employee_name</cx:v>
            </cx:txData>
          </cx:tx>
          <cx:spPr>
            <a:gradFill>
              <a:gsLst>
                <a:gs pos="11000">
                  <a:srgbClr val="F82868"/>
                </a:gs>
                <a:gs pos="100000">
                  <a:schemeClr val="accent3">
                    <a:lumMod val="30000"/>
                    <a:lumOff val="70000"/>
                  </a:schemeClr>
                </a:gs>
              </a:gsLst>
              <a:lin ang="5400000" scaled="1"/>
            </a:gradFill>
            <a:ln>
              <a:noFill/>
            </a:ln>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hyperlink" Target="#Analysis!A1"/><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hyperlink" Target="#hrdata!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20944</xdr:rowOff>
    </xdr:from>
    <xdr:to>
      <xdr:col>1</xdr:col>
      <xdr:colOff>471016</xdr:colOff>
      <xdr:row>3</xdr:row>
      <xdr:rowOff>20933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CCD86BD-9004-4598-97B3-0E4D4905E3AA}"/>
            </a:ext>
          </a:extLst>
        </xdr:cNvPr>
        <xdr:cNvSpPr/>
      </xdr:nvSpPr>
      <xdr:spPr>
        <a:xfrm>
          <a:off x="0" y="20944"/>
          <a:ext cx="1078104" cy="565209"/>
        </a:xfrm>
        <a:prstGeom prst="roundRect">
          <a:avLst/>
        </a:prstGeom>
        <a:solidFill>
          <a:srgbClr val="ED7D31"/>
        </a:solidFill>
        <a:ln w="12700" cap="flat" cmpd="sng" algn="ctr">
          <a:noFill/>
          <a:prstDash val="solid"/>
          <a:miter lim="800000"/>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 lastClr="FFFFFF"/>
              </a:solidFill>
              <a:effectLst/>
              <a:uLnTx/>
              <a:uFillTx/>
              <a:latin typeface="Calibri" panose="020F0502020204030204"/>
              <a:ea typeface="+mn-ea"/>
              <a:cs typeface="+mn-cs"/>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962025</xdr:colOff>
      <xdr:row>4</xdr:row>
      <xdr:rowOff>0</xdr:rowOff>
    </xdr:from>
    <xdr:to>
      <xdr:col>13</xdr:col>
      <xdr:colOff>971550</xdr:colOff>
      <xdr:row>6</xdr:row>
      <xdr:rowOff>142875</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D859943C-ECDA-4F36-980E-DFAD93DD7F63}"/>
            </a:ext>
          </a:extLst>
        </xdr:cNvPr>
        <xdr:cNvSpPr/>
      </xdr:nvSpPr>
      <xdr:spPr>
        <a:xfrm>
          <a:off x="13020675" y="800100"/>
          <a:ext cx="1095375" cy="533400"/>
        </a:xfrm>
        <a:prstGeom prst="roundRect">
          <a:avLst/>
        </a:prstGeom>
        <a:solidFill>
          <a:srgbClr val="ED7D31"/>
        </a:solidFill>
        <a:ln w="12700" cap="flat" cmpd="sng" algn="ctr">
          <a:noFill/>
          <a:prstDash val="solid"/>
          <a:miter lim="800000"/>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 lastClr="FFFFFF"/>
              </a:solidFill>
              <a:effectLst/>
              <a:uLnTx/>
              <a:uFillTx/>
              <a:latin typeface="Calibri" panose="020F0502020204030204"/>
              <a:ea typeface="+mn-ea"/>
              <a:cs typeface="+mn-cs"/>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38099</xdr:colOff>
      <xdr:row>1</xdr:row>
      <xdr:rowOff>38099</xdr:rowOff>
    </xdr:from>
    <xdr:to>
      <xdr:col>4</xdr:col>
      <xdr:colOff>171450</xdr:colOff>
      <xdr:row>4</xdr:row>
      <xdr:rowOff>28574</xdr:rowOff>
    </xdr:to>
    <xdr:sp macro="" textlink="">
      <xdr:nvSpPr>
        <xdr:cNvPr id="5" name="Rectangle: Rounded Corners 4">
          <a:extLst>
            <a:ext uri="{FF2B5EF4-FFF2-40B4-BE49-F238E27FC236}">
              <a16:creationId xmlns:a16="http://schemas.microsoft.com/office/drawing/2014/main" id="{D5262763-9BE1-982E-1CC6-2D89166CA0FE}"/>
            </a:ext>
          </a:extLst>
        </xdr:cNvPr>
        <xdr:cNvSpPr/>
      </xdr:nvSpPr>
      <xdr:spPr>
        <a:xfrm>
          <a:off x="323849" y="238124"/>
          <a:ext cx="3495676" cy="561975"/>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38099</xdr:colOff>
      <xdr:row>4</xdr:row>
      <xdr:rowOff>85724</xdr:rowOff>
    </xdr:from>
    <xdr:to>
      <xdr:col>3</xdr:col>
      <xdr:colOff>485775</xdr:colOff>
      <xdr:row>28</xdr:row>
      <xdr:rowOff>158750</xdr:rowOff>
    </xdr:to>
    <xdr:sp macro="" textlink="">
      <xdr:nvSpPr>
        <xdr:cNvPr id="6" name="Rectangle: Rounded Corners 5">
          <a:extLst>
            <a:ext uri="{FF2B5EF4-FFF2-40B4-BE49-F238E27FC236}">
              <a16:creationId xmlns:a16="http://schemas.microsoft.com/office/drawing/2014/main" id="{4004CF1C-997A-8AB0-D0D6-19BE5E16FE63}"/>
            </a:ext>
          </a:extLst>
        </xdr:cNvPr>
        <xdr:cNvSpPr/>
      </xdr:nvSpPr>
      <xdr:spPr>
        <a:xfrm>
          <a:off x="323849" y="923924"/>
          <a:ext cx="1666876" cy="4648201"/>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628651</xdr:colOff>
      <xdr:row>4</xdr:row>
      <xdr:rowOff>85724</xdr:rowOff>
    </xdr:from>
    <xdr:to>
      <xdr:col>4</xdr:col>
      <xdr:colOff>533400</xdr:colOff>
      <xdr:row>8</xdr:row>
      <xdr:rowOff>133350</xdr:rowOff>
    </xdr:to>
    <xdr:sp macro="" textlink="">
      <xdr:nvSpPr>
        <xdr:cNvPr id="7" name="Rectangle: Rounded Corners 6">
          <a:extLst>
            <a:ext uri="{FF2B5EF4-FFF2-40B4-BE49-F238E27FC236}">
              <a16:creationId xmlns:a16="http://schemas.microsoft.com/office/drawing/2014/main" id="{022E96D7-C618-8E19-D363-642CF4E20A4C}"/>
            </a:ext>
          </a:extLst>
        </xdr:cNvPr>
        <xdr:cNvSpPr/>
      </xdr:nvSpPr>
      <xdr:spPr>
        <a:xfrm>
          <a:off x="2133601" y="857249"/>
          <a:ext cx="2047874" cy="80962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104774</xdr:colOff>
      <xdr:row>4</xdr:row>
      <xdr:rowOff>85724</xdr:rowOff>
    </xdr:from>
    <xdr:to>
      <xdr:col>5</xdr:col>
      <xdr:colOff>2533650</xdr:colOff>
      <xdr:row>8</xdr:row>
      <xdr:rowOff>133350</xdr:rowOff>
    </xdr:to>
    <xdr:sp macro="" textlink="">
      <xdr:nvSpPr>
        <xdr:cNvPr id="8" name="Rectangle: Rounded Corners 7">
          <a:extLst>
            <a:ext uri="{FF2B5EF4-FFF2-40B4-BE49-F238E27FC236}">
              <a16:creationId xmlns:a16="http://schemas.microsoft.com/office/drawing/2014/main" id="{345AA0E7-56A8-B2E1-2EB8-C05452ADAA35}"/>
            </a:ext>
          </a:extLst>
        </xdr:cNvPr>
        <xdr:cNvSpPr/>
      </xdr:nvSpPr>
      <xdr:spPr>
        <a:xfrm>
          <a:off x="4362449" y="857249"/>
          <a:ext cx="2428876" cy="80962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2752728</xdr:colOff>
      <xdr:row>4</xdr:row>
      <xdr:rowOff>85724</xdr:rowOff>
    </xdr:from>
    <xdr:to>
      <xdr:col>7</xdr:col>
      <xdr:colOff>581027</xdr:colOff>
      <xdr:row>8</xdr:row>
      <xdr:rowOff>133350</xdr:rowOff>
    </xdr:to>
    <xdr:sp macro="" textlink="">
      <xdr:nvSpPr>
        <xdr:cNvPr id="9" name="Rectangle: Rounded Corners 8">
          <a:extLst>
            <a:ext uri="{FF2B5EF4-FFF2-40B4-BE49-F238E27FC236}">
              <a16:creationId xmlns:a16="http://schemas.microsoft.com/office/drawing/2014/main" id="{3C3A27F6-0E0B-CD7B-F2C1-A929ABFA409E}"/>
            </a:ext>
          </a:extLst>
        </xdr:cNvPr>
        <xdr:cNvSpPr/>
      </xdr:nvSpPr>
      <xdr:spPr>
        <a:xfrm>
          <a:off x="7010403" y="857249"/>
          <a:ext cx="2047874" cy="80962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104771</xdr:colOff>
      <xdr:row>4</xdr:row>
      <xdr:rowOff>85724</xdr:rowOff>
    </xdr:from>
    <xdr:to>
      <xdr:col>11</xdr:col>
      <xdr:colOff>561974</xdr:colOff>
      <xdr:row>8</xdr:row>
      <xdr:rowOff>133350</xdr:rowOff>
    </xdr:to>
    <xdr:sp macro="" textlink="">
      <xdr:nvSpPr>
        <xdr:cNvPr id="10" name="Rectangle: Rounded Corners 9">
          <a:extLst>
            <a:ext uri="{FF2B5EF4-FFF2-40B4-BE49-F238E27FC236}">
              <a16:creationId xmlns:a16="http://schemas.microsoft.com/office/drawing/2014/main" id="{32A2BA39-3B32-2AFB-0452-2D70EEB92F7D}"/>
            </a:ext>
          </a:extLst>
        </xdr:cNvPr>
        <xdr:cNvSpPr/>
      </xdr:nvSpPr>
      <xdr:spPr>
        <a:xfrm>
          <a:off x="9191621" y="923924"/>
          <a:ext cx="2286003" cy="80962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628651</xdr:colOff>
      <xdr:row>9</xdr:row>
      <xdr:rowOff>104778</xdr:rowOff>
    </xdr:from>
    <xdr:to>
      <xdr:col>4</xdr:col>
      <xdr:colOff>533400</xdr:colOff>
      <xdr:row>12</xdr:row>
      <xdr:rowOff>164214</xdr:rowOff>
    </xdr:to>
    <xdr:sp macro="" textlink="">
      <xdr:nvSpPr>
        <xdr:cNvPr id="11" name="Rectangle: Rounded Corners 10">
          <a:extLst>
            <a:ext uri="{FF2B5EF4-FFF2-40B4-BE49-F238E27FC236}">
              <a16:creationId xmlns:a16="http://schemas.microsoft.com/office/drawing/2014/main" id="{B7BE7A49-85DE-0557-8CBD-A7D3CDD2B363}"/>
            </a:ext>
          </a:extLst>
        </xdr:cNvPr>
        <xdr:cNvSpPr/>
      </xdr:nvSpPr>
      <xdr:spPr>
        <a:xfrm>
          <a:off x="2133601" y="1828803"/>
          <a:ext cx="2047874" cy="63093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104774</xdr:colOff>
      <xdr:row>9</xdr:row>
      <xdr:rowOff>104778</xdr:rowOff>
    </xdr:from>
    <xdr:to>
      <xdr:col>5</xdr:col>
      <xdr:colOff>2533650</xdr:colOff>
      <xdr:row>12</xdr:row>
      <xdr:rowOff>164214</xdr:rowOff>
    </xdr:to>
    <xdr:sp macro="" textlink="">
      <xdr:nvSpPr>
        <xdr:cNvPr id="13" name="Rectangle: Rounded Corners 12">
          <a:extLst>
            <a:ext uri="{FF2B5EF4-FFF2-40B4-BE49-F238E27FC236}">
              <a16:creationId xmlns:a16="http://schemas.microsoft.com/office/drawing/2014/main" id="{BDF5AF8B-7EA1-10FA-9D7C-268827813394}"/>
            </a:ext>
          </a:extLst>
        </xdr:cNvPr>
        <xdr:cNvSpPr/>
      </xdr:nvSpPr>
      <xdr:spPr>
        <a:xfrm>
          <a:off x="4362449" y="1828803"/>
          <a:ext cx="2428876" cy="63093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2752728</xdr:colOff>
      <xdr:row>9</xdr:row>
      <xdr:rowOff>104778</xdr:rowOff>
    </xdr:from>
    <xdr:to>
      <xdr:col>7</xdr:col>
      <xdr:colOff>581027</xdr:colOff>
      <xdr:row>12</xdr:row>
      <xdr:rowOff>164214</xdr:rowOff>
    </xdr:to>
    <xdr:sp macro="" textlink="">
      <xdr:nvSpPr>
        <xdr:cNvPr id="14" name="Rectangle: Rounded Corners 13">
          <a:extLst>
            <a:ext uri="{FF2B5EF4-FFF2-40B4-BE49-F238E27FC236}">
              <a16:creationId xmlns:a16="http://schemas.microsoft.com/office/drawing/2014/main" id="{0ED9F292-58D7-35CB-B786-A38345210EEE}"/>
            </a:ext>
          </a:extLst>
        </xdr:cNvPr>
        <xdr:cNvSpPr/>
      </xdr:nvSpPr>
      <xdr:spPr>
        <a:xfrm>
          <a:off x="7010403" y="1828803"/>
          <a:ext cx="2047874" cy="63093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76201</xdr:colOff>
      <xdr:row>9</xdr:row>
      <xdr:rowOff>104778</xdr:rowOff>
    </xdr:from>
    <xdr:to>
      <xdr:col>9</xdr:col>
      <xdr:colOff>381001</xdr:colOff>
      <xdr:row>12</xdr:row>
      <xdr:rowOff>164214</xdr:rowOff>
    </xdr:to>
    <xdr:sp macro="" textlink="">
      <xdr:nvSpPr>
        <xdr:cNvPr id="15" name="Rectangle: Rounded Corners 14">
          <a:extLst>
            <a:ext uri="{FF2B5EF4-FFF2-40B4-BE49-F238E27FC236}">
              <a16:creationId xmlns:a16="http://schemas.microsoft.com/office/drawing/2014/main" id="{CAF3F817-5FE9-DD53-0B80-E025CA21DC2F}"/>
            </a:ext>
          </a:extLst>
        </xdr:cNvPr>
        <xdr:cNvSpPr/>
      </xdr:nvSpPr>
      <xdr:spPr>
        <a:xfrm>
          <a:off x="9163051" y="1828803"/>
          <a:ext cx="914400" cy="63093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628651</xdr:colOff>
      <xdr:row>13</xdr:row>
      <xdr:rowOff>85728</xdr:rowOff>
    </xdr:from>
    <xdr:to>
      <xdr:col>4</xdr:col>
      <xdr:colOff>533400</xdr:colOff>
      <xdr:row>15</xdr:row>
      <xdr:rowOff>152784</xdr:rowOff>
    </xdr:to>
    <xdr:sp macro="" textlink="">
      <xdr:nvSpPr>
        <xdr:cNvPr id="16" name="Rectangle: Rounded Corners 15">
          <a:extLst>
            <a:ext uri="{FF2B5EF4-FFF2-40B4-BE49-F238E27FC236}">
              <a16:creationId xmlns:a16="http://schemas.microsoft.com/office/drawing/2014/main" id="{427FC537-17CF-24C1-6BB9-5ABC154CE69A}"/>
            </a:ext>
          </a:extLst>
        </xdr:cNvPr>
        <xdr:cNvSpPr/>
      </xdr:nvSpPr>
      <xdr:spPr>
        <a:xfrm>
          <a:off x="2133601" y="2571753"/>
          <a:ext cx="2047874" cy="44805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104774</xdr:colOff>
      <xdr:row>13</xdr:row>
      <xdr:rowOff>85728</xdr:rowOff>
    </xdr:from>
    <xdr:to>
      <xdr:col>5</xdr:col>
      <xdr:colOff>2533650</xdr:colOff>
      <xdr:row>15</xdr:row>
      <xdr:rowOff>152784</xdr:rowOff>
    </xdr:to>
    <xdr:sp macro="" textlink="">
      <xdr:nvSpPr>
        <xdr:cNvPr id="17" name="Rectangle: Rounded Corners 16">
          <a:extLst>
            <a:ext uri="{FF2B5EF4-FFF2-40B4-BE49-F238E27FC236}">
              <a16:creationId xmlns:a16="http://schemas.microsoft.com/office/drawing/2014/main" id="{75E82AE1-1E4C-9F62-5E79-1F1CA60D9103}"/>
            </a:ext>
          </a:extLst>
        </xdr:cNvPr>
        <xdr:cNvSpPr/>
      </xdr:nvSpPr>
      <xdr:spPr>
        <a:xfrm>
          <a:off x="4362449" y="2571753"/>
          <a:ext cx="2428876" cy="44805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2752728</xdr:colOff>
      <xdr:row>13</xdr:row>
      <xdr:rowOff>85728</xdr:rowOff>
    </xdr:from>
    <xdr:to>
      <xdr:col>7</xdr:col>
      <xdr:colOff>581027</xdr:colOff>
      <xdr:row>15</xdr:row>
      <xdr:rowOff>152784</xdr:rowOff>
    </xdr:to>
    <xdr:sp macro="" textlink="">
      <xdr:nvSpPr>
        <xdr:cNvPr id="18" name="Rectangle: Rounded Corners 17">
          <a:extLst>
            <a:ext uri="{FF2B5EF4-FFF2-40B4-BE49-F238E27FC236}">
              <a16:creationId xmlns:a16="http://schemas.microsoft.com/office/drawing/2014/main" id="{972406A8-A74E-D70F-6458-F362120AB375}"/>
            </a:ext>
          </a:extLst>
        </xdr:cNvPr>
        <xdr:cNvSpPr/>
      </xdr:nvSpPr>
      <xdr:spPr>
        <a:xfrm>
          <a:off x="7010403" y="2571753"/>
          <a:ext cx="2047874" cy="44805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104771</xdr:colOff>
      <xdr:row>13</xdr:row>
      <xdr:rowOff>85728</xdr:rowOff>
    </xdr:from>
    <xdr:to>
      <xdr:col>11</xdr:col>
      <xdr:colOff>561974</xdr:colOff>
      <xdr:row>15</xdr:row>
      <xdr:rowOff>152784</xdr:rowOff>
    </xdr:to>
    <xdr:sp macro="" textlink="">
      <xdr:nvSpPr>
        <xdr:cNvPr id="19" name="Rectangle: Rounded Corners 18">
          <a:extLst>
            <a:ext uri="{FF2B5EF4-FFF2-40B4-BE49-F238E27FC236}">
              <a16:creationId xmlns:a16="http://schemas.microsoft.com/office/drawing/2014/main" id="{8485AA66-9135-108B-FDF7-E787D379C4F7}"/>
            </a:ext>
          </a:extLst>
        </xdr:cNvPr>
        <xdr:cNvSpPr/>
      </xdr:nvSpPr>
      <xdr:spPr>
        <a:xfrm>
          <a:off x="9191621" y="2571753"/>
          <a:ext cx="2286003" cy="44805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628651</xdr:colOff>
      <xdr:row>16</xdr:row>
      <xdr:rowOff>66678</xdr:rowOff>
    </xdr:from>
    <xdr:to>
      <xdr:col>4</xdr:col>
      <xdr:colOff>533400</xdr:colOff>
      <xdr:row>28</xdr:row>
      <xdr:rowOff>130179</xdr:rowOff>
    </xdr:to>
    <xdr:sp macro="" textlink="">
      <xdr:nvSpPr>
        <xdr:cNvPr id="20" name="Rectangle: Rounded Corners 19">
          <a:extLst>
            <a:ext uri="{FF2B5EF4-FFF2-40B4-BE49-F238E27FC236}">
              <a16:creationId xmlns:a16="http://schemas.microsoft.com/office/drawing/2014/main" id="{9A2F392A-CDE1-2FB9-33BD-909374090569}"/>
            </a:ext>
          </a:extLst>
        </xdr:cNvPr>
        <xdr:cNvSpPr/>
      </xdr:nvSpPr>
      <xdr:spPr>
        <a:xfrm>
          <a:off x="2133601" y="3124203"/>
          <a:ext cx="2047874" cy="235267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104774</xdr:colOff>
      <xdr:row>16</xdr:row>
      <xdr:rowOff>66678</xdr:rowOff>
    </xdr:from>
    <xdr:to>
      <xdr:col>5</xdr:col>
      <xdr:colOff>2533650</xdr:colOff>
      <xdr:row>28</xdr:row>
      <xdr:rowOff>130179</xdr:rowOff>
    </xdr:to>
    <xdr:sp macro="" textlink="">
      <xdr:nvSpPr>
        <xdr:cNvPr id="21" name="Rectangle: Rounded Corners 20">
          <a:extLst>
            <a:ext uri="{FF2B5EF4-FFF2-40B4-BE49-F238E27FC236}">
              <a16:creationId xmlns:a16="http://schemas.microsoft.com/office/drawing/2014/main" id="{14C1B636-97BB-4970-5ABD-AE8D51027BCC}"/>
            </a:ext>
          </a:extLst>
        </xdr:cNvPr>
        <xdr:cNvSpPr/>
      </xdr:nvSpPr>
      <xdr:spPr>
        <a:xfrm>
          <a:off x="4362449" y="3124203"/>
          <a:ext cx="2428876" cy="235267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2781303</xdr:colOff>
      <xdr:row>16</xdr:row>
      <xdr:rowOff>66678</xdr:rowOff>
    </xdr:from>
    <xdr:to>
      <xdr:col>8</xdr:col>
      <xdr:colOff>2</xdr:colOff>
      <xdr:row>28</xdr:row>
      <xdr:rowOff>130179</xdr:rowOff>
    </xdr:to>
    <xdr:sp macro="" textlink="">
      <xdr:nvSpPr>
        <xdr:cNvPr id="22" name="Rectangle: Rounded Corners 21">
          <a:extLst>
            <a:ext uri="{FF2B5EF4-FFF2-40B4-BE49-F238E27FC236}">
              <a16:creationId xmlns:a16="http://schemas.microsoft.com/office/drawing/2014/main" id="{18A364E0-6C63-08FF-9D11-D9AB8F853B14}"/>
            </a:ext>
          </a:extLst>
        </xdr:cNvPr>
        <xdr:cNvSpPr/>
      </xdr:nvSpPr>
      <xdr:spPr>
        <a:xfrm>
          <a:off x="7038978" y="3124203"/>
          <a:ext cx="2047874" cy="235267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104771</xdr:colOff>
      <xdr:row>16</xdr:row>
      <xdr:rowOff>66678</xdr:rowOff>
    </xdr:from>
    <xdr:to>
      <xdr:col>11</xdr:col>
      <xdr:colOff>561974</xdr:colOff>
      <xdr:row>28</xdr:row>
      <xdr:rowOff>130179</xdr:rowOff>
    </xdr:to>
    <xdr:sp macro="" textlink="">
      <xdr:nvSpPr>
        <xdr:cNvPr id="23" name="Rectangle: Rounded Corners 22">
          <a:extLst>
            <a:ext uri="{FF2B5EF4-FFF2-40B4-BE49-F238E27FC236}">
              <a16:creationId xmlns:a16="http://schemas.microsoft.com/office/drawing/2014/main" id="{FBD94761-5F9C-EADC-B74A-72C04B207D2A}"/>
            </a:ext>
          </a:extLst>
        </xdr:cNvPr>
        <xdr:cNvSpPr/>
      </xdr:nvSpPr>
      <xdr:spPr>
        <a:xfrm>
          <a:off x="9191621" y="3124203"/>
          <a:ext cx="2286003" cy="235267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114300</xdr:colOff>
      <xdr:row>1</xdr:row>
      <xdr:rowOff>104775</xdr:rowOff>
    </xdr:from>
    <xdr:to>
      <xdr:col>4</xdr:col>
      <xdr:colOff>171450</xdr:colOff>
      <xdr:row>3</xdr:row>
      <xdr:rowOff>9525</xdr:rowOff>
    </xdr:to>
    <xdr:sp macro="" textlink="">
      <xdr:nvSpPr>
        <xdr:cNvPr id="33" name="TextBox 32">
          <a:extLst>
            <a:ext uri="{FF2B5EF4-FFF2-40B4-BE49-F238E27FC236}">
              <a16:creationId xmlns:a16="http://schemas.microsoft.com/office/drawing/2014/main" id="{C0745259-C439-D844-D8C4-C01BC741D21F}"/>
            </a:ext>
          </a:extLst>
        </xdr:cNvPr>
        <xdr:cNvSpPr txBox="1"/>
      </xdr:nvSpPr>
      <xdr:spPr>
        <a:xfrm>
          <a:off x="400050" y="304800"/>
          <a:ext cx="3419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Bash Logistic</a:t>
          </a:r>
          <a:r>
            <a:rPr lang="en-US" sz="1600" b="1" baseline="0">
              <a:solidFill>
                <a:schemeClr val="bg1"/>
              </a:solidFill>
            </a:rPr>
            <a:t> Hr Analytic Dashboard</a:t>
          </a:r>
          <a:endParaRPr lang="en-US" sz="1600" b="1">
            <a:solidFill>
              <a:schemeClr val="bg1"/>
            </a:solidFill>
          </a:endParaRPr>
        </a:p>
      </xdr:txBody>
    </xdr:sp>
    <xdr:clientData/>
  </xdr:twoCellAnchor>
  <xdr:twoCellAnchor editAs="absolute">
    <xdr:from>
      <xdr:col>1</xdr:col>
      <xdr:colOff>114300</xdr:colOff>
      <xdr:row>2</xdr:row>
      <xdr:rowOff>85725</xdr:rowOff>
    </xdr:from>
    <xdr:to>
      <xdr:col>3</xdr:col>
      <xdr:colOff>476250</xdr:colOff>
      <xdr:row>3</xdr:row>
      <xdr:rowOff>180975</xdr:rowOff>
    </xdr:to>
    <xdr:sp macro="" textlink="">
      <xdr:nvSpPr>
        <xdr:cNvPr id="34" name="TextBox 33">
          <a:extLst>
            <a:ext uri="{FF2B5EF4-FFF2-40B4-BE49-F238E27FC236}">
              <a16:creationId xmlns:a16="http://schemas.microsoft.com/office/drawing/2014/main" id="{8EF50CE8-99BC-C82A-BF6B-30FA98A6C667}"/>
            </a:ext>
          </a:extLst>
        </xdr:cNvPr>
        <xdr:cNvSpPr txBox="1"/>
      </xdr:nvSpPr>
      <xdr:spPr>
        <a:xfrm>
          <a:off x="400050" y="476250"/>
          <a:ext cx="1581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created</a:t>
          </a:r>
          <a:r>
            <a:rPr lang="en-US" sz="1200" b="1" baseline="0">
              <a:solidFill>
                <a:schemeClr val="bg1"/>
              </a:solidFill>
            </a:rPr>
            <a:t> by </a:t>
          </a:r>
          <a:r>
            <a:rPr lang="en-US" sz="1200" b="1" i="1" baseline="0">
              <a:solidFill>
                <a:schemeClr val="bg1"/>
              </a:solidFill>
            </a:rPr>
            <a:t>Opesmiles</a:t>
          </a:r>
          <a:endParaRPr lang="en-US" sz="1200" b="1" i="1">
            <a:solidFill>
              <a:schemeClr val="bg1"/>
            </a:solidFill>
          </a:endParaRPr>
        </a:p>
      </xdr:txBody>
    </xdr:sp>
    <xdr:clientData/>
  </xdr:twoCellAnchor>
  <xdr:twoCellAnchor editAs="absolute">
    <xdr:from>
      <xdr:col>3</xdr:col>
      <xdr:colOff>619125</xdr:colOff>
      <xdr:row>4</xdr:row>
      <xdr:rowOff>28575</xdr:rowOff>
    </xdr:from>
    <xdr:to>
      <xdr:col>4</xdr:col>
      <xdr:colOff>57150</xdr:colOff>
      <xdr:row>5</xdr:row>
      <xdr:rowOff>123825</xdr:rowOff>
    </xdr:to>
    <xdr:sp macro="" textlink="">
      <xdr:nvSpPr>
        <xdr:cNvPr id="35" name="TextBox 34">
          <a:extLst>
            <a:ext uri="{FF2B5EF4-FFF2-40B4-BE49-F238E27FC236}">
              <a16:creationId xmlns:a16="http://schemas.microsoft.com/office/drawing/2014/main" id="{AFB66C2A-40C9-BA3E-7A5B-FCC20E8F31FD}"/>
            </a:ext>
          </a:extLst>
        </xdr:cNvPr>
        <xdr:cNvSpPr txBox="1"/>
      </xdr:nvSpPr>
      <xdr:spPr>
        <a:xfrm>
          <a:off x="2124075" y="866775"/>
          <a:ext cx="1581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Total</a:t>
          </a:r>
          <a:r>
            <a:rPr lang="en-US" sz="1200" b="1" i="0" baseline="0">
              <a:solidFill>
                <a:schemeClr val="accent6">
                  <a:lumMod val="60000"/>
                  <a:lumOff val="40000"/>
                </a:schemeClr>
              </a:solidFill>
            </a:rPr>
            <a:t> Employee</a:t>
          </a:r>
          <a:endParaRPr lang="en-US" sz="1200" b="1" i="1">
            <a:solidFill>
              <a:schemeClr val="accent6">
                <a:lumMod val="60000"/>
                <a:lumOff val="40000"/>
              </a:schemeClr>
            </a:solidFill>
          </a:endParaRPr>
        </a:p>
      </xdr:txBody>
    </xdr:sp>
    <xdr:clientData/>
  </xdr:twoCellAnchor>
  <xdr:twoCellAnchor editAs="absolute">
    <xdr:from>
      <xdr:col>5</xdr:col>
      <xdr:colOff>85725</xdr:colOff>
      <xdr:row>4</xdr:row>
      <xdr:rowOff>28575</xdr:rowOff>
    </xdr:from>
    <xdr:to>
      <xdr:col>5</xdr:col>
      <xdr:colOff>790575</xdr:colOff>
      <xdr:row>5</xdr:row>
      <xdr:rowOff>123825</xdr:rowOff>
    </xdr:to>
    <xdr:sp macro="" textlink="">
      <xdr:nvSpPr>
        <xdr:cNvPr id="36" name="TextBox 35">
          <a:extLst>
            <a:ext uri="{FF2B5EF4-FFF2-40B4-BE49-F238E27FC236}">
              <a16:creationId xmlns:a16="http://schemas.microsoft.com/office/drawing/2014/main" id="{84AC262A-0A43-0E60-5936-1A19F674874C}"/>
            </a:ext>
          </a:extLst>
        </xdr:cNvPr>
        <xdr:cNvSpPr txBox="1"/>
      </xdr:nvSpPr>
      <xdr:spPr>
        <a:xfrm>
          <a:off x="4343400" y="80010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Gender</a:t>
          </a:r>
          <a:endParaRPr lang="en-US" sz="1200" b="1" i="1">
            <a:solidFill>
              <a:schemeClr val="accent6">
                <a:lumMod val="60000"/>
                <a:lumOff val="40000"/>
              </a:schemeClr>
            </a:solidFill>
          </a:endParaRPr>
        </a:p>
      </xdr:txBody>
    </xdr:sp>
    <xdr:clientData/>
  </xdr:twoCellAnchor>
  <xdr:twoCellAnchor editAs="absolute">
    <xdr:from>
      <xdr:col>5</xdr:col>
      <xdr:colOff>2733674</xdr:colOff>
      <xdr:row>4</xdr:row>
      <xdr:rowOff>28575</xdr:rowOff>
    </xdr:from>
    <xdr:to>
      <xdr:col>6</xdr:col>
      <xdr:colOff>409574</xdr:colOff>
      <xdr:row>5</xdr:row>
      <xdr:rowOff>123825</xdr:rowOff>
    </xdr:to>
    <xdr:sp macro="" textlink="">
      <xdr:nvSpPr>
        <xdr:cNvPr id="37" name="TextBox 36">
          <a:extLst>
            <a:ext uri="{FF2B5EF4-FFF2-40B4-BE49-F238E27FC236}">
              <a16:creationId xmlns:a16="http://schemas.microsoft.com/office/drawing/2014/main" id="{1A397337-C1FF-5804-21A8-B5F3150B15A6}"/>
            </a:ext>
          </a:extLst>
        </xdr:cNvPr>
        <xdr:cNvSpPr txBox="1"/>
      </xdr:nvSpPr>
      <xdr:spPr>
        <a:xfrm>
          <a:off x="6991349" y="800100"/>
          <a:ext cx="1285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Active</a:t>
          </a:r>
          <a:r>
            <a:rPr lang="en-US" sz="1200" b="1" i="0" baseline="0">
              <a:solidFill>
                <a:schemeClr val="accent6">
                  <a:lumMod val="60000"/>
                  <a:lumOff val="40000"/>
                </a:schemeClr>
              </a:solidFill>
            </a:rPr>
            <a:t> Workers</a:t>
          </a:r>
          <a:endParaRPr lang="en-US" sz="1200" b="1" i="1">
            <a:solidFill>
              <a:schemeClr val="accent6">
                <a:lumMod val="60000"/>
                <a:lumOff val="40000"/>
              </a:schemeClr>
            </a:solidFill>
          </a:endParaRPr>
        </a:p>
      </xdr:txBody>
    </xdr:sp>
    <xdr:clientData/>
  </xdr:twoCellAnchor>
  <xdr:twoCellAnchor editAs="absolute">
    <xdr:from>
      <xdr:col>8</xdr:col>
      <xdr:colOff>95249</xdr:colOff>
      <xdr:row>4</xdr:row>
      <xdr:rowOff>28575</xdr:rowOff>
    </xdr:from>
    <xdr:to>
      <xdr:col>10</xdr:col>
      <xdr:colOff>333374</xdr:colOff>
      <xdr:row>5</xdr:row>
      <xdr:rowOff>123825</xdr:rowOff>
    </xdr:to>
    <xdr:sp macro="" textlink="">
      <xdr:nvSpPr>
        <xdr:cNvPr id="38" name="TextBox 37">
          <a:extLst>
            <a:ext uri="{FF2B5EF4-FFF2-40B4-BE49-F238E27FC236}">
              <a16:creationId xmlns:a16="http://schemas.microsoft.com/office/drawing/2014/main" id="{85169C16-5C3E-F0E4-7553-5F33F99777E2}"/>
            </a:ext>
          </a:extLst>
        </xdr:cNvPr>
        <xdr:cNvSpPr txBox="1"/>
      </xdr:nvSpPr>
      <xdr:spPr>
        <a:xfrm>
          <a:off x="9182099" y="800100"/>
          <a:ext cx="1457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Inactive Workers</a:t>
          </a:r>
          <a:endParaRPr lang="en-US" sz="1200" b="1" i="1">
            <a:solidFill>
              <a:schemeClr val="accent6">
                <a:lumMod val="60000"/>
                <a:lumOff val="40000"/>
              </a:schemeClr>
            </a:solidFill>
          </a:endParaRPr>
        </a:p>
      </xdr:txBody>
    </xdr:sp>
    <xdr:clientData/>
  </xdr:twoCellAnchor>
  <xdr:twoCellAnchor editAs="absolute">
    <xdr:from>
      <xdr:col>8</xdr:col>
      <xdr:colOff>85724</xdr:colOff>
      <xdr:row>9</xdr:row>
      <xdr:rowOff>47625</xdr:rowOff>
    </xdr:from>
    <xdr:to>
      <xdr:col>9</xdr:col>
      <xdr:colOff>438150</xdr:colOff>
      <xdr:row>10</xdr:row>
      <xdr:rowOff>142875</xdr:rowOff>
    </xdr:to>
    <xdr:sp macro="" textlink="">
      <xdr:nvSpPr>
        <xdr:cNvPr id="39" name="TextBox 38">
          <a:extLst>
            <a:ext uri="{FF2B5EF4-FFF2-40B4-BE49-F238E27FC236}">
              <a16:creationId xmlns:a16="http://schemas.microsoft.com/office/drawing/2014/main" id="{ADF27C5C-98DF-6CD4-55EC-86E45ADB7481}"/>
            </a:ext>
          </a:extLst>
        </xdr:cNvPr>
        <xdr:cNvSpPr txBox="1"/>
      </xdr:nvSpPr>
      <xdr:spPr>
        <a:xfrm>
          <a:off x="9172574" y="1771650"/>
          <a:ext cx="9620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Retrenched</a:t>
          </a:r>
          <a:endParaRPr lang="en-US" sz="1200" b="1" i="1">
            <a:solidFill>
              <a:schemeClr val="accent6">
                <a:lumMod val="60000"/>
                <a:lumOff val="40000"/>
              </a:schemeClr>
            </a:solidFill>
          </a:endParaRPr>
        </a:p>
      </xdr:txBody>
    </xdr:sp>
    <xdr:clientData/>
  </xdr:twoCellAnchor>
  <xdr:twoCellAnchor editAs="absolute">
    <xdr:from>
      <xdr:col>5</xdr:col>
      <xdr:colOff>2733675</xdr:colOff>
      <xdr:row>9</xdr:row>
      <xdr:rowOff>47625</xdr:rowOff>
    </xdr:from>
    <xdr:to>
      <xdr:col>5</xdr:col>
      <xdr:colOff>3438525</xdr:colOff>
      <xdr:row>10</xdr:row>
      <xdr:rowOff>142875</xdr:rowOff>
    </xdr:to>
    <xdr:sp macro="" textlink="">
      <xdr:nvSpPr>
        <xdr:cNvPr id="40" name="TextBox 39">
          <a:extLst>
            <a:ext uri="{FF2B5EF4-FFF2-40B4-BE49-F238E27FC236}">
              <a16:creationId xmlns:a16="http://schemas.microsoft.com/office/drawing/2014/main" id="{29678C54-F028-CC71-47E8-FBEC456CB845}"/>
            </a:ext>
          </a:extLst>
        </xdr:cNvPr>
        <xdr:cNvSpPr txBox="1"/>
      </xdr:nvSpPr>
      <xdr:spPr>
        <a:xfrm>
          <a:off x="6991350" y="177165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Status</a:t>
          </a:r>
          <a:endParaRPr lang="en-US" sz="1200" b="1" i="1">
            <a:solidFill>
              <a:schemeClr val="accent6">
                <a:lumMod val="60000"/>
                <a:lumOff val="40000"/>
              </a:schemeClr>
            </a:solidFill>
          </a:endParaRPr>
        </a:p>
      </xdr:txBody>
    </xdr:sp>
    <xdr:clientData/>
  </xdr:twoCellAnchor>
  <xdr:twoCellAnchor editAs="absolute">
    <xdr:from>
      <xdr:col>5</xdr:col>
      <xdr:colOff>57150</xdr:colOff>
      <xdr:row>13</xdr:row>
      <xdr:rowOff>47625</xdr:rowOff>
    </xdr:from>
    <xdr:to>
      <xdr:col>5</xdr:col>
      <xdr:colOff>1085850</xdr:colOff>
      <xdr:row>14</xdr:row>
      <xdr:rowOff>142875</xdr:rowOff>
    </xdr:to>
    <xdr:sp macro="" textlink="">
      <xdr:nvSpPr>
        <xdr:cNvPr id="41" name="TextBox 40">
          <a:extLst>
            <a:ext uri="{FF2B5EF4-FFF2-40B4-BE49-F238E27FC236}">
              <a16:creationId xmlns:a16="http://schemas.microsoft.com/office/drawing/2014/main" id="{25E8A6F8-98D3-E98A-2FBE-4262DDED5E80}"/>
            </a:ext>
          </a:extLst>
        </xdr:cNvPr>
        <xdr:cNvSpPr txBox="1"/>
      </xdr:nvSpPr>
      <xdr:spPr>
        <a:xfrm>
          <a:off x="4314825" y="2533650"/>
          <a:ext cx="1028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Job_level</a:t>
          </a:r>
          <a:endParaRPr lang="en-US" sz="1200" b="1" i="1">
            <a:solidFill>
              <a:schemeClr val="accent6">
                <a:lumMod val="60000"/>
                <a:lumOff val="40000"/>
              </a:schemeClr>
            </a:solidFill>
          </a:endParaRPr>
        </a:p>
      </xdr:txBody>
    </xdr:sp>
    <xdr:clientData/>
  </xdr:twoCellAnchor>
  <xdr:twoCellAnchor editAs="absolute">
    <xdr:from>
      <xdr:col>3</xdr:col>
      <xdr:colOff>609600</xdr:colOff>
      <xdr:row>13</xdr:row>
      <xdr:rowOff>28575</xdr:rowOff>
    </xdr:from>
    <xdr:to>
      <xdr:col>4</xdr:col>
      <xdr:colOff>28575</xdr:colOff>
      <xdr:row>14</xdr:row>
      <xdr:rowOff>123825</xdr:rowOff>
    </xdr:to>
    <xdr:sp macro="" textlink="">
      <xdr:nvSpPr>
        <xdr:cNvPr id="42" name="TextBox 41">
          <a:extLst>
            <a:ext uri="{FF2B5EF4-FFF2-40B4-BE49-F238E27FC236}">
              <a16:creationId xmlns:a16="http://schemas.microsoft.com/office/drawing/2014/main" id="{1ABDE4BC-18FA-0E72-3D2D-E18CC560F7C6}"/>
            </a:ext>
          </a:extLst>
        </xdr:cNvPr>
        <xdr:cNvSpPr txBox="1"/>
      </xdr:nvSpPr>
      <xdr:spPr>
        <a:xfrm>
          <a:off x="2114550" y="2514600"/>
          <a:ext cx="1562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Total</a:t>
          </a:r>
          <a:r>
            <a:rPr lang="en-US" sz="1200" b="1" i="0" baseline="0">
              <a:solidFill>
                <a:schemeClr val="accent6">
                  <a:lumMod val="60000"/>
                  <a:lumOff val="40000"/>
                </a:schemeClr>
              </a:solidFill>
            </a:rPr>
            <a:t>_Department </a:t>
          </a:r>
          <a:endParaRPr lang="en-US" sz="1200" b="1" i="1">
            <a:solidFill>
              <a:schemeClr val="accent6">
                <a:lumMod val="60000"/>
                <a:lumOff val="40000"/>
              </a:schemeClr>
            </a:solidFill>
          </a:endParaRPr>
        </a:p>
      </xdr:txBody>
    </xdr:sp>
    <xdr:clientData/>
  </xdr:twoCellAnchor>
  <xdr:twoCellAnchor editAs="absolute">
    <xdr:from>
      <xdr:col>3</xdr:col>
      <xdr:colOff>619125</xdr:colOff>
      <xdr:row>9</xdr:row>
      <xdr:rowOff>47625</xdr:rowOff>
    </xdr:from>
    <xdr:to>
      <xdr:col>3</xdr:col>
      <xdr:colOff>1323975</xdr:colOff>
      <xdr:row>10</xdr:row>
      <xdr:rowOff>142875</xdr:rowOff>
    </xdr:to>
    <xdr:sp macro="" textlink="">
      <xdr:nvSpPr>
        <xdr:cNvPr id="43" name="TextBox 42">
          <a:extLst>
            <a:ext uri="{FF2B5EF4-FFF2-40B4-BE49-F238E27FC236}">
              <a16:creationId xmlns:a16="http://schemas.microsoft.com/office/drawing/2014/main" id="{D2583322-9B23-C877-0F01-835F2AA47772}"/>
            </a:ext>
          </a:extLst>
        </xdr:cNvPr>
        <xdr:cNvSpPr txBox="1"/>
      </xdr:nvSpPr>
      <xdr:spPr>
        <a:xfrm>
          <a:off x="2124075" y="177165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Status</a:t>
          </a:r>
          <a:endParaRPr lang="en-US" sz="1200" b="1" i="1">
            <a:solidFill>
              <a:schemeClr val="accent6">
                <a:lumMod val="60000"/>
                <a:lumOff val="40000"/>
              </a:schemeClr>
            </a:solidFill>
          </a:endParaRPr>
        </a:p>
      </xdr:txBody>
    </xdr:sp>
    <xdr:clientData/>
  </xdr:twoCellAnchor>
  <xdr:twoCellAnchor editAs="absolute">
    <xdr:from>
      <xdr:col>5</xdr:col>
      <xdr:colOff>66675</xdr:colOff>
      <xdr:row>9</xdr:row>
      <xdr:rowOff>47625</xdr:rowOff>
    </xdr:from>
    <xdr:to>
      <xdr:col>5</xdr:col>
      <xdr:colOff>771525</xdr:colOff>
      <xdr:row>10</xdr:row>
      <xdr:rowOff>142875</xdr:rowOff>
    </xdr:to>
    <xdr:sp macro="" textlink="">
      <xdr:nvSpPr>
        <xdr:cNvPr id="44" name="TextBox 43">
          <a:extLst>
            <a:ext uri="{FF2B5EF4-FFF2-40B4-BE49-F238E27FC236}">
              <a16:creationId xmlns:a16="http://schemas.microsoft.com/office/drawing/2014/main" id="{E694C37D-C66F-2B56-7FBF-01120A58DBEF}"/>
            </a:ext>
          </a:extLst>
        </xdr:cNvPr>
        <xdr:cNvSpPr txBox="1"/>
      </xdr:nvSpPr>
      <xdr:spPr>
        <a:xfrm>
          <a:off x="4324350" y="177165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Status</a:t>
          </a:r>
          <a:endParaRPr lang="en-US" sz="1200" b="1" i="1">
            <a:solidFill>
              <a:schemeClr val="accent6">
                <a:lumMod val="60000"/>
                <a:lumOff val="40000"/>
              </a:schemeClr>
            </a:solidFill>
          </a:endParaRPr>
        </a:p>
      </xdr:txBody>
    </xdr:sp>
    <xdr:clientData/>
  </xdr:twoCellAnchor>
  <xdr:twoCellAnchor editAs="absolute">
    <xdr:from>
      <xdr:col>8</xdr:col>
      <xdr:colOff>28575</xdr:colOff>
      <xdr:row>13</xdr:row>
      <xdr:rowOff>19050</xdr:rowOff>
    </xdr:from>
    <xdr:to>
      <xdr:col>9</xdr:col>
      <xdr:colOff>123825</xdr:colOff>
      <xdr:row>14</xdr:row>
      <xdr:rowOff>114300</xdr:rowOff>
    </xdr:to>
    <xdr:sp macro="" textlink="">
      <xdr:nvSpPr>
        <xdr:cNvPr id="45" name="TextBox 44">
          <a:extLst>
            <a:ext uri="{FF2B5EF4-FFF2-40B4-BE49-F238E27FC236}">
              <a16:creationId xmlns:a16="http://schemas.microsoft.com/office/drawing/2014/main" id="{04573E59-2676-98C1-F2CD-42F7B6DFFBBD}"/>
            </a:ext>
          </a:extLst>
        </xdr:cNvPr>
        <xdr:cNvSpPr txBox="1"/>
      </xdr:nvSpPr>
      <xdr:spPr>
        <a:xfrm>
          <a:off x="9115425" y="2505075"/>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Faith</a:t>
          </a:r>
          <a:endParaRPr lang="en-US" sz="1200" b="1" i="1">
            <a:solidFill>
              <a:schemeClr val="accent6">
                <a:lumMod val="60000"/>
                <a:lumOff val="40000"/>
              </a:schemeClr>
            </a:solidFill>
          </a:endParaRPr>
        </a:p>
      </xdr:txBody>
    </xdr:sp>
    <xdr:clientData/>
  </xdr:twoCellAnchor>
  <xdr:twoCellAnchor editAs="absolute">
    <xdr:from>
      <xdr:col>5</xdr:col>
      <xdr:colOff>2714624</xdr:colOff>
      <xdr:row>13</xdr:row>
      <xdr:rowOff>47625</xdr:rowOff>
    </xdr:from>
    <xdr:to>
      <xdr:col>5</xdr:col>
      <xdr:colOff>3600449</xdr:colOff>
      <xdr:row>14</xdr:row>
      <xdr:rowOff>142875</xdr:rowOff>
    </xdr:to>
    <xdr:sp macro="" textlink="">
      <xdr:nvSpPr>
        <xdr:cNvPr id="46" name="TextBox 45">
          <a:extLst>
            <a:ext uri="{FF2B5EF4-FFF2-40B4-BE49-F238E27FC236}">
              <a16:creationId xmlns:a16="http://schemas.microsoft.com/office/drawing/2014/main" id="{FE255DB9-DD8C-D8A2-A56D-768F68FF926A}"/>
            </a:ext>
          </a:extLst>
        </xdr:cNvPr>
        <xdr:cNvSpPr txBox="1"/>
      </xdr:nvSpPr>
      <xdr:spPr>
        <a:xfrm>
          <a:off x="6972299" y="2533650"/>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Job</a:t>
          </a:r>
          <a:r>
            <a:rPr lang="en-US" sz="1200" b="1" i="0" baseline="0">
              <a:solidFill>
                <a:schemeClr val="accent6">
                  <a:lumMod val="60000"/>
                  <a:lumOff val="40000"/>
                </a:schemeClr>
              </a:solidFill>
            </a:rPr>
            <a:t>_level</a:t>
          </a:r>
          <a:endParaRPr lang="en-US" sz="1200" b="1" i="1">
            <a:solidFill>
              <a:schemeClr val="accent6">
                <a:lumMod val="60000"/>
                <a:lumOff val="40000"/>
              </a:schemeClr>
            </a:solidFill>
          </a:endParaRPr>
        </a:p>
      </xdr:txBody>
    </xdr:sp>
    <xdr:clientData/>
  </xdr:twoCellAnchor>
  <xdr:twoCellAnchor editAs="absolute">
    <xdr:from>
      <xdr:col>5</xdr:col>
      <xdr:colOff>2819400</xdr:colOff>
      <xdr:row>16</xdr:row>
      <xdr:rowOff>57150</xdr:rowOff>
    </xdr:from>
    <xdr:to>
      <xdr:col>7</xdr:col>
      <xdr:colOff>66675</xdr:colOff>
      <xdr:row>17</xdr:row>
      <xdr:rowOff>149225</xdr:rowOff>
    </xdr:to>
    <xdr:sp macro="" textlink="">
      <xdr:nvSpPr>
        <xdr:cNvPr id="47" name="TextBox 46">
          <a:extLst>
            <a:ext uri="{FF2B5EF4-FFF2-40B4-BE49-F238E27FC236}">
              <a16:creationId xmlns:a16="http://schemas.microsoft.com/office/drawing/2014/main" id="{3BA2CEF0-D5A5-1437-FF45-2E8BA2B75C65}"/>
            </a:ext>
          </a:extLst>
        </xdr:cNvPr>
        <xdr:cNvSpPr txBox="1"/>
      </xdr:nvSpPr>
      <xdr:spPr>
        <a:xfrm>
          <a:off x="7077075" y="3114675"/>
          <a:ext cx="1466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Distribution center</a:t>
          </a:r>
          <a:endParaRPr lang="en-US" sz="1200" b="1" i="1">
            <a:solidFill>
              <a:schemeClr val="accent6">
                <a:lumMod val="60000"/>
                <a:lumOff val="40000"/>
              </a:schemeClr>
            </a:solidFill>
          </a:endParaRPr>
        </a:p>
      </xdr:txBody>
    </xdr:sp>
    <xdr:clientData/>
  </xdr:twoCellAnchor>
  <xdr:twoCellAnchor editAs="absolute">
    <xdr:from>
      <xdr:col>8</xdr:col>
      <xdr:colOff>104774</xdr:colOff>
      <xdr:row>16</xdr:row>
      <xdr:rowOff>57150</xdr:rowOff>
    </xdr:from>
    <xdr:to>
      <xdr:col>9</xdr:col>
      <xdr:colOff>571499</xdr:colOff>
      <xdr:row>17</xdr:row>
      <xdr:rowOff>149225</xdr:rowOff>
    </xdr:to>
    <xdr:sp macro="" textlink="">
      <xdr:nvSpPr>
        <xdr:cNvPr id="48" name="TextBox 47">
          <a:extLst>
            <a:ext uri="{FF2B5EF4-FFF2-40B4-BE49-F238E27FC236}">
              <a16:creationId xmlns:a16="http://schemas.microsoft.com/office/drawing/2014/main" id="{6E13C4C7-BFF1-0F55-35E7-61D81FEFDC45}"/>
            </a:ext>
          </a:extLst>
        </xdr:cNvPr>
        <xdr:cNvSpPr txBox="1"/>
      </xdr:nvSpPr>
      <xdr:spPr>
        <a:xfrm>
          <a:off x="9191624" y="3114675"/>
          <a:ext cx="1076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Age_group</a:t>
          </a:r>
          <a:endParaRPr lang="en-US" sz="1200" b="1" i="1">
            <a:solidFill>
              <a:schemeClr val="accent6">
                <a:lumMod val="60000"/>
                <a:lumOff val="40000"/>
              </a:schemeClr>
            </a:solidFill>
          </a:endParaRPr>
        </a:p>
      </xdr:txBody>
    </xdr:sp>
    <xdr:clientData/>
  </xdr:twoCellAnchor>
  <xdr:twoCellAnchor editAs="absolute">
    <xdr:from>
      <xdr:col>3</xdr:col>
      <xdr:colOff>647698</xdr:colOff>
      <xdr:row>16</xdr:row>
      <xdr:rowOff>38100</xdr:rowOff>
    </xdr:from>
    <xdr:to>
      <xdr:col>4</xdr:col>
      <xdr:colOff>581024</xdr:colOff>
      <xdr:row>17</xdr:row>
      <xdr:rowOff>130175</xdr:rowOff>
    </xdr:to>
    <xdr:sp macro="" textlink="">
      <xdr:nvSpPr>
        <xdr:cNvPr id="49" name="TextBox 48">
          <a:extLst>
            <a:ext uri="{FF2B5EF4-FFF2-40B4-BE49-F238E27FC236}">
              <a16:creationId xmlns:a16="http://schemas.microsoft.com/office/drawing/2014/main" id="{CAF00209-61E2-A863-4D0C-A36A338F330B}"/>
            </a:ext>
          </a:extLst>
        </xdr:cNvPr>
        <xdr:cNvSpPr txBox="1"/>
      </xdr:nvSpPr>
      <xdr:spPr>
        <a:xfrm>
          <a:off x="2152648" y="3095625"/>
          <a:ext cx="20764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spc="40">
              <a:solidFill>
                <a:schemeClr val="accent6">
                  <a:lumMod val="60000"/>
                  <a:lumOff val="40000"/>
                </a:schemeClr>
              </a:solidFill>
            </a:rPr>
            <a:t>Department</a:t>
          </a:r>
          <a:r>
            <a:rPr lang="en-US" sz="1200" b="1" i="0" spc="40" baseline="0">
              <a:solidFill>
                <a:schemeClr val="accent6">
                  <a:lumMod val="60000"/>
                  <a:lumOff val="40000"/>
                </a:schemeClr>
              </a:solidFill>
            </a:rPr>
            <a:t> by Employee</a:t>
          </a:r>
          <a:endParaRPr lang="en-US" sz="1200" b="1" i="1" spc="40">
            <a:solidFill>
              <a:schemeClr val="accent6">
                <a:lumMod val="60000"/>
                <a:lumOff val="40000"/>
              </a:schemeClr>
            </a:solidFill>
          </a:endParaRPr>
        </a:p>
      </xdr:txBody>
    </xdr:sp>
    <xdr:clientData/>
  </xdr:twoCellAnchor>
  <xdr:twoCellAnchor editAs="absolute">
    <xdr:from>
      <xdr:col>5</xdr:col>
      <xdr:colOff>180975</xdr:colOff>
      <xdr:row>16</xdr:row>
      <xdr:rowOff>66675</xdr:rowOff>
    </xdr:from>
    <xdr:to>
      <xdr:col>5</xdr:col>
      <xdr:colOff>1171575</xdr:colOff>
      <xdr:row>17</xdr:row>
      <xdr:rowOff>158750</xdr:rowOff>
    </xdr:to>
    <xdr:sp macro="" textlink="">
      <xdr:nvSpPr>
        <xdr:cNvPr id="50" name="TextBox 49">
          <a:extLst>
            <a:ext uri="{FF2B5EF4-FFF2-40B4-BE49-F238E27FC236}">
              <a16:creationId xmlns:a16="http://schemas.microsoft.com/office/drawing/2014/main" id="{E1AE66D3-31A8-3F71-5DD3-670AAFAC4330}"/>
            </a:ext>
          </a:extLst>
        </xdr:cNvPr>
        <xdr:cNvSpPr txBox="1"/>
      </xdr:nvSpPr>
      <xdr:spPr>
        <a:xfrm>
          <a:off x="4438650" y="31242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Designation</a:t>
          </a:r>
          <a:endParaRPr lang="en-US" sz="1200" b="1" i="1">
            <a:solidFill>
              <a:schemeClr val="accent6">
                <a:lumMod val="60000"/>
                <a:lumOff val="40000"/>
              </a:schemeClr>
            </a:solidFill>
          </a:endParaRPr>
        </a:p>
      </xdr:txBody>
    </xdr:sp>
    <xdr:clientData/>
  </xdr:twoCellAnchor>
  <xdr:twoCellAnchor editAs="absolute">
    <xdr:from>
      <xdr:col>9</xdr:col>
      <xdr:colOff>466725</xdr:colOff>
      <xdr:row>9</xdr:row>
      <xdr:rowOff>104778</xdr:rowOff>
    </xdr:from>
    <xdr:to>
      <xdr:col>11</xdr:col>
      <xdr:colOff>561974</xdr:colOff>
      <xdr:row>12</xdr:row>
      <xdr:rowOff>164214</xdr:rowOff>
    </xdr:to>
    <xdr:sp macro="" textlink="">
      <xdr:nvSpPr>
        <xdr:cNvPr id="51" name="Rectangle: Rounded Corners 50">
          <a:extLst>
            <a:ext uri="{FF2B5EF4-FFF2-40B4-BE49-F238E27FC236}">
              <a16:creationId xmlns:a16="http://schemas.microsoft.com/office/drawing/2014/main" id="{1CA9CD01-97C9-FBF2-61C2-AC65128AFF5F}"/>
            </a:ext>
          </a:extLst>
        </xdr:cNvPr>
        <xdr:cNvSpPr/>
      </xdr:nvSpPr>
      <xdr:spPr>
        <a:xfrm>
          <a:off x="10163175" y="1828803"/>
          <a:ext cx="1314449" cy="630936"/>
        </a:xfrm>
        <a:prstGeom prst="roundRect">
          <a:avLst>
            <a:gd name="adj" fmla="val 5556"/>
          </a:avLst>
        </a:prstGeom>
        <a:solidFill>
          <a:schemeClr val="bg2">
            <a:lumMod val="50000"/>
          </a:schemeClr>
        </a:solidFill>
        <a:ln>
          <a:noFill/>
        </a:ln>
        <a:effectLst>
          <a:outerShdw blurRad="107950" dist="12700" dir="5400000" algn="ctr">
            <a:srgbClr val="000000">
              <a:alpha val="33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466724</xdr:colOff>
      <xdr:row>9</xdr:row>
      <xdr:rowOff>47625</xdr:rowOff>
    </xdr:from>
    <xdr:to>
      <xdr:col>11</xdr:col>
      <xdr:colOff>209550</xdr:colOff>
      <xdr:row>10</xdr:row>
      <xdr:rowOff>142875</xdr:rowOff>
    </xdr:to>
    <xdr:sp macro="" textlink="">
      <xdr:nvSpPr>
        <xdr:cNvPr id="52" name="TextBox 51">
          <a:extLst>
            <a:ext uri="{FF2B5EF4-FFF2-40B4-BE49-F238E27FC236}">
              <a16:creationId xmlns:a16="http://schemas.microsoft.com/office/drawing/2014/main" id="{68C3B0F7-9678-B758-8986-EF9117C474AD}"/>
            </a:ext>
          </a:extLst>
        </xdr:cNvPr>
        <xdr:cNvSpPr txBox="1"/>
      </xdr:nvSpPr>
      <xdr:spPr>
        <a:xfrm>
          <a:off x="10163174" y="1771650"/>
          <a:ext cx="9620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Location</a:t>
          </a:r>
          <a:endParaRPr lang="en-US" sz="1200" b="1" i="1">
            <a:solidFill>
              <a:schemeClr val="accent6">
                <a:lumMod val="60000"/>
                <a:lumOff val="40000"/>
              </a:schemeClr>
            </a:solidFill>
          </a:endParaRPr>
        </a:p>
      </xdr:txBody>
    </xdr:sp>
    <xdr:clientData/>
  </xdr:twoCellAnchor>
  <xdr:twoCellAnchor editAs="absolute">
    <xdr:from>
      <xdr:col>3</xdr:col>
      <xdr:colOff>1581151</xdr:colOff>
      <xdr:row>5</xdr:row>
      <xdr:rowOff>66675</xdr:rowOff>
    </xdr:from>
    <xdr:to>
      <xdr:col>4</xdr:col>
      <xdr:colOff>323850</xdr:colOff>
      <xdr:row>7</xdr:row>
      <xdr:rowOff>180975</xdr:rowOff>
    </xdr:to>
    <xdr:sp macro="" textlink="Analysis!B3">
      <xdr:nvSpPr>
        <xdr:cNvPr id="53" name="TextBox 52">
          <a:extLst>
            <a:ext uri="{FF2B5EF4-FFF2-40B4-BE49-F238E27FC236}">
              <a16:creationId xmlns:a16="http://schemas.microsoft.com/office/drawing/2014/main" id="{F78A5E47-5F8D-E8B3-6114-60958F520CBB}"/>
            </a:ext>
          </a:extLst>
        </xdr:cNvPr>
        <xdr:cNvSpPr txBox="1"/>
      </xdr:nvSpPr>
      <xdr:spPr>
        <a:xfrm>
          <a:off x="3086101" y="1028700"/>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788C07-BEC1-4250-B45E-E9A2651AC43E}" type="TxLink">
            <a:rPr lang="en-US" sz="3600" b="1" i="0" u="none" strike="noStrike">
              <a:solidFill>
                <a:schemeClr val="bg1">
                  <a:lumMod val="95000"/>
                </a:schemeClr>
              </a:solidFill>
              <a:latin typeface="Calibri"/>
              <a:cs typeface="Calibri"/>
            </a:rPr>
            <a:pPr/>
            <a:t>151</a:t>
          </a:fld>
          <a:endParaRPr lang="en-US" sz="3600" b="1">
            <a:solidFill>
              <a:schemeClr val="bg1">
                <a:lumMod val="95000"/>
              </a:schemeClr>
            </a:solidFill>
          </a:endParaRPr>
        </a:p>
      </xdr:txBody>
    </xdr:sp>
    <xdr:clientData/>
  </xdr:twoCellAnchor>
  <xdr:twoCellAnchor editAs="absolute">
    <xdr:from>
      <xdr:col>9</xdr:col>
      <xdr:colOff>428625</xdr:colOff>
      <xdr:row>10</xdr:row>
      <xdr:rowOff>114301</xdr:rowOff>
    </xdr:from>
    <xdr:to>
      <xdr:col>10</xdr:col>
      <xdr:colOff>438150</xdr:colOff>
      <xdr:row>12</xdr:row>
      <xdr:rowOff>123825</xdr:rowOff>
    </xdr:to>
    <xdr:pic>
      <xdr:nvPicPr>
        <xdr:cNvPr id="56" name="image3.png" title="Image">
          <a:extLst>
            <a:ext uri="{FF2B5EF4-FFF2-40B4-BE49-F238E27FC236}">
              <a16:creationId xmlns:a16="http://schemas.microsoft.com/office/drawing/2014/main" id="{382D766F-0519-4DBF-B112-8D63A8CC1C2C}"/>
            </a:ext>
          </a:extLst>
        </xdr:cNvPr>
        <xdr:cNvPicPr preferRelativeResize="0"/>
      </xdr:nvPicPr>
      <xdr:blipFill>
        <a:blip xmlns:r="http://schemas.openxmlformats.org/officeDocument/2006/relationships" r:embed="rId1" cstate="print"/>
        <a:stretch>
          <a:fillRect/>
        </a:stretch>
      </xdr:blipFill>
      <xdr:spPr>
        <a:xfrm>
          <a:off x="10125075" y="2028826"/>
          <a:ext cx="619125" cy="390524"/>
        </a:xfrm>
        <a:prstGeom prst="rect">
          <a:avLst/>
        </a:prstGeom>
        <a:noFill/>
      </xdr:spPr>
    </xdr:pic>
    <xdr:clientData fLocksWithSheet="0"/>
  </xdr:twoCellAnchor>
  <xdr:twoCellAnchor editAs="absolute">
    <xdr:from>
      <xdr:col>5</xdr:col>
      <xdr:colOff>2800350</xdr:colOff>
      <xdr:row>5</xdr:row>
      <xdr:rowOff>152400</xdr:rowOff>
    </xdr:from>
    <xdr:to>
      <xdr:col>5</xdr:col>
      <xdr:colOff>3419475</xdr:colOff>
      <xdr:row>8</xdr:row>
      <xdr:rowOff>104775</xdr:rowOff>
    </xdr:to>
    <xdr:pic>
      <xdr:nvPicPr>
        <xdr:cNvPr id="58" name="image2.png" title="Bild">
          <a:extLst>
            <a:ext uri="{FF2B5EF4-FFF2-40B4-BE49-F238E27FC236}">
              <a16:creationId xmlns:a16="http://schemas.microsoft.com/office/drawing/2014/main" id="{4A173FD7-5778-4B11-9229-09AE56F5C865}"/>
            </a:ext>
          </a:extLst>
        </xdr:cNvPr>
        <xdr:cNvPicPr preferRelativeResize="0"/>
      </xdr:nvPicPr>
      <xdr:blipFill>
        <a:blip xmlns:r="http://schemas.openxmlformats.org/officeDocument/2006/relationships" r:embed="rId2" cstate="print"/>
        <a:stretch>
          <a:fillRect/>
        </a:stretch>
      </xdr:blipFill>
      <xdr:spPr>
        <a:xfrm>
          <a:off x="7058025" y="1114425"/>
          <a:ext cx="619125" cy="523875"/>
        </a:xfrm>
        <a:prstGeom prst="rect">
          <a:avLst/>
        </a:prstGeom>
        <a:noFill/>
      </xdr:spPr>
    </xdr:pic>
    <xdr:clientData fLocksWithSheet="0"/>
  </xdr:twoCellAnchor>
  <xdr:twoCellAnchor editAs="absolute">
    <xdr:from>
      <xdr:col>8</xdr:col>
      <xdr:colOff>466725</xdr:colOff>
      <xdr:row>5</xdr:row>
      <xdr:rowOff>180975</xdr:rowOff>
    </xdr:from>
    <xdr:to>
      <xdr:col>9</xdr:col>
      <xdr:colOff>276225</xdr:colOff>
      <xdr:row>8</xdr:row>
      <xdr:rowOff>66675</xdr:rowOff>
    </xdr:to>
    <xdr:pic>
      <xdr:nvPicPr>
        <xdr:cNvPr id="59" name="image5.png">
          <a:extLst>
            <a:ext uri="{FF2B5EF4-FFF2-40B4-BE49-F238E27FC236}">
              <a16:creationId xmlns:a16="http://schemas.microsoft.com/office/drawing/2014/main" id="{15740356-D433-429F-8FE9-317143978770}"/>
            </a:ext>
          </a:extLst>
        </xdr:cNvPr>
        <xdr:cNvPicPr preferRelativeResize="0"/>
      </xdr:nvPicPr>
      <xdr:blipFill>
        <a:blip xmlns:r="http://schemas.openxmlformats.org/officeDocument/2006/relationships" r:embed="rId3" cstate="print"/>
        <a:stretch>
          <a:fillRect/>
        </a:stretch>
      </xdr:blipFill>
      <xdr:spPr>
        <a:xfrm>
          <a:off x="9553575" y="1143000"/>
          <a:ext cx="419100" cy="457200"/>
        </a:xfrm>
        <a:prstGeom prst="rect">
          <a:avLst/>
        </a:prstGeom>
        <a:noFill/>
      </xdr:spPr>
    </xdr:pic>
    <xdr:clientData fLocksWithSheet="0"/>
  </xdr:twoCellAnchor>
  <xdr:twoCellAnchor editAs="absolute">
    <xdr:from>
      <xdr:col>5</xdr:col>
      <xdr:colOff>466725</xdr:colOff>
      <xdr:row>11</xdr:row>
      <xdr:rowOff>9525</xdr:rowOff>
    </xdr:from>
    <xdr:to>
      <xdr:col>5</xdr:col>
      <xdr:colOff>657225</xdr:colOff>
      <xdr:row>12</xdr:row>
      <xdr:rowOff>9525</xdr:rowOff>
    </xdr:to>
    <xdr:pic>
      <xdr:nvPicPr>
        <xdr:cNvPr id="60" name="image6.png">
          <a:extLst>
            <a:ext uri="{FF2B5EF4-FFF2-40B4-BE49-F238E27FC236}">
              <a16:creationId xmlns:a16="http://schemas.microsoft.com/office/drawing/2014/main" id="{19E6A24B-FF91-4C92-B074-1B46C5B2BA0E}"/>
            </a:ext>
          </a:extLst>
        </xdr:cNvPr>
        <xdr:cNvPicPr preferRelativeResize="0"/>
      </xdr:nvPicPr>
      <xdr:blipFill>
        <a:blip xmlns:r="http://schemas.openxmlformats.org/officeDocument/2006/relationships" r:embed="rId4" cstate="print"/>
        <a:stretch>
          <a:fillRect/>
        </a:stretch>
      </xdr:blipFill>
      <xdr:spPr>
        <a:xfrm>
          <a:off x="4724400" y="2114550"/>
          <a:ext cx="190500" cy="190500"/>
        </a:xfrm>
        <a:prstGeom prst="rect">
          <a:avLst/>
        </a:prstGeom>
        <a:noFill/>
      </xdr:spPr>
    </xdr:pic>
    <xdr:clientData fLocksWithSheet="0"/>
  </xdr:twoCellAnchor>
  <xdr:twoCellAnchor editAs="absolute">
    <xdr:from>
      <xdr:col>3</xdr:col>
      <xdr:colOff>895350</xdr:colOff>
      <xdr:row>11</xdr:row>
      <xdr:rowOff>9525</xdr:rowOff>
    </xdr:from>
    <xdr:to>
      <xdr:col>3</xdr:col>
      <xdr:colOff>1085850</xdr:colOff>
      <xdr:row>12</xdr:row>
      <xdr:rowOff>9525</xdr:rowOff>
    </xdr:to>
    <xdr:pic>
      <xdr:nvPicPr>
        <xdr:cNvPr id="61" name="image4.png">
          <a:extLst>
            <a:ext uri="{FF2B5EF4-FFF2-40B4-BE49-F238E27FC236}">
              <a16:creationId xmlns:a16="http://schemas.microsoft.com/office/drawing/2014/main" id="{36508A85-86A2-438E-869E-093442B8DB8F}"/>
            </a:ext>
          </a:extLst>
        </xdr:cNvPr>
        <xdr:cNvPicPr preferRelativeResize="0"/>
      </xdr:nvPicPr>
      <xdr:blipFill>
        <a:blip xmlns:r="http://schemas.openxmlformats.org/officeDocument/2006/relationships" r:embed="rId5" cstate="print"/>
        <a:stretch>
          <a:fillRect/>
        </a:stretch>
      </xdr:blipFill>
      <xdr:spPr>
        <a:xfrm>
          <a:off x="2400300" y="2114550"/>
          <a:ext cx="190500" cy="190500"/>
        </a:xfrm>
        <a:prstGeom prst="rect">
          <a:avLst/>
        </a:prstGeom>
        <a:noFill/>
      </xdr:spPr>
    </xdr:pic>
    <xdr:clientData fLocksWithSheet="0"/>
  </xdr:twoCellAnchor>
  <xdr:twoCellAnchor editAs="absolute">
    <xdr:from>
      <xdr:col>5</xdr:col>
      <xdr:colOff>3019425</xdr:colOff>
      <xdr:row>11</xdr:row>
      <xdr:rowOff>38100</xdr:rowOff>
    </xdr:from>
    <xdr:to>
      <xdr:col>5</xdr:col>
      <xdr:colOff>3209925</xdr:colOff>
      <xdr:row>12</xdr:row>
      <xdr:rowOff>38100</xdr:rowOff>
    </xdr:to>
    <xdr:pic>
      <xdr:nvPicPr>
        <xdr:cNvPr id="62" name="image4.png">
          <a:extLst>
            <a:ext uri="{FF2B5EF4-FFF2-40B4-BE49-F238E27FC236}">
              <a16:creationId xmlns:a16="http://schemas.microsoft.com/office/drawing/2014/main" id="{9AE14089-1D3D-4C76-BFA6-932158D9BF02}"/>
            </a:ext>
          </a:extLst>
        </xdr:cNvPr>
        <xdr:cNvPicPr preferRelativeResize="0"/>
      </xdr:nvPicPr>
      <xdr:blipFill>
        <a:blip xmlns:r="http://schemas.openxmlformats.org/officeDocument/2006/relationships" r:embed="rId5" cstate="print"/>
        <a:stretch>
          <a:fillRect/>
        </a:stretch>
      </xdr:blipFill>
      <xdr:spPr>
        <a:xfrm>
          <a:off x="7277100" y="2143125"/>
          <a:ext cx="190500" cy="190500"/>
        </a:xfrm>
        <a:prstGeom prst="rect">
          <a:avLst/>
        </a:prstGeom>
        <a:noFill/>
      </xdr:spPr>
    </xdr:pic>
    <xdr:clientData fLocksWithSheet="0"/>
  </xdr:twoCellAnchor>
  <xdr:twoCellAnchor editAs="absolute">
    <xdr:from>
      <xdr:col>5</xdr:col>
      <xdr:colOff>285750</xdr:colOff>
      <xdr:row>11</xdr:row>
      <xdr:rowOff>19050</xdr:rowOff>
    </xdr:from>
    <xdr:to>
      <xdr:col>5</xdr:col>
      <xdr:colOff>476250</xdr:colOff>
      <xdr:row>12</xdr:row>
      <xdr:rowOff>19050</xdr:rowOff>
    </xdr:to>
    <xdr:pic>
      <xdr:nvPicPr>
        <xdr:cNvPr id="63" name="image4.png">
          <a:extLst>
            <a:ext uri="{FF2B5EF4-FFF2-40B4-BE49-F238E27FC236}">
              <a16:creationId xmlns:a16="http://schemas.microsoft.com/office/drawing/2014/main" id="{B45703A8-4939-407F-800F-8B23DE3FC2FF}"/>
            </a:ext>
          </a:extLst>
        </xdr:cNvPr>
        <xdr:cNvPicPr preferRelativeResize="0"/>
      </xdr:nvPicPr>
      <xdr:blipFill>
        <a:blip xmlns:r="http://schemas.openxmlformats.org/officeDocument/2006/relationships" r:embed="rId5" cstate="print"/>
        <a:stretch>
          <a:fillRect/>
        </a:stretch>
      </xdr:blipFill>
      <xdr:spPr>
        <a:xfrm>
          <a:off x="4543425" y="2124075"/>
          <a:ext cx="190500" cy="190500"/>
        </a:xfrm>
        <a:prstGeom prst="rect">
          <a:avLst/>
        </a:prstGeom>
        <a:noFill/>
      </xdr:spPr>
    </xdr:pic>
    <xdr:clientData fLocksWithSheet="0"/>
  </xdr:twoCellAnchor>
  <xdr:twoCellAnchor editAs="absolute">
    <xdr:from>
      <xdr:col>3</xdr:col>
      <xdr:colOff>771526</xdr:colOff>
      <xdr:row>5</xdr:row>
      <xdr:rowOff>76199</xdr:rowOff>
    </xdr:from>
    <xdr:to>
      <xdr:col>3</xdr:col>
      <xdr:colOff>1295401</xdr:colOff>
      <xdr:row>8</xdr:row>
      <xdr:rowOff>85724</xdr:rowOff>
    </xdr:to>
    <xdr:pic>
      <xdr:nvPicPr>
        <xdr:cNvPr id="65" name="image1.png">
          <a:extLst>
            <a:ext uri="{FF2B5EF4-FFF2-40B4-BE49-F238E27FC236}">
              <a16:creationId xmlns:a16="http://schemas.microsoft.com/office/drawing/2014/main" id="{FB5BE989-B68A-4119-A7C0-08F8FCE20913}"/>
            </a:ext>
          </a:extLst>
        </xdr:cNvPr>
        <xdr:cNvPicPr preferRelativeResize="0"/>
      </xdr:nvPicPr>
      <xdr:blipFill>
        <a:blip xmlns:r="http://schemas.openxmlformats.org/officeDocument/2006/relationships" r:embed="rId6" cstate="print"/>
        <a:stretch>
          <a:fillRect/>
        </a:stretch>
      </xdr:blipFill>
      <xdr:spPr>
        <a:xfrm>
          <a:off x="2276476" y="1038224"/>
          <a:ext cx="523875" cy="581025"/>
        </a:xfrm>
        <a:prstGeom prst="rect">
          <a:avLst/>
        </a:prstGeom>
        <a:noFill/>
      </xdr:spPr>
    </xdr:pic>
    <xdr:clientData fLocksWithSheet="0"/>
  </xdr:twoCellAnchor>
  <xdr:twoCellAnchor editAs="absolute">
    <xdr:from>
      <xdr:col>5</xdr:col>
      <xdr:colOff>1319212</xdr:colOff>
      <xdr:row>6</xdr:row>
      <xdr:rowOff>28575</xdr:rowOff>
    </xdr:from>
    <xdr:to>
      <xdr:col>5</xdr:col>
      <xdr:colOff>1343025</xdr:colOff>
      <xdr:row>8</xdr:row>
      <xdr:rowOff>133350</xdr:rowOff>
    </xdr:to>
    <xdr:cxnSp macro="">
      <xdr:nvCxnSpPr>
        <xdr:cNvPr id="74" name="Straight Connector 73">
          <a:extLst>
            <a:ext uri="{FF2B5EF4-FFF2-40B4-BE49-F238E27FC236}">
              <a16:creationId xmlns:a16="http://schemas.microsoft.com/office/drawing/2014/main" id="{3EF8C578-37BA-7C05-1AB9-BC4A5B1382B9}"/>
            </a:ext>
          </a:extLst>
        </xdr:cNvPr>
        <xdr:cNvCxnSpPr>
          <a:endCxn id="8" idx="2"/>
        </xdr:cNvCxnSpPr>
      </xdr:nvCxnSpPr>
      <xdr:spPr>
        <a:xfrm flipH="1">
          <a:off x="5576887" y="1181100"/>
          <a:ext cx="23813" cy="48577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628651</xdr:colOff>
      <xdr:row>6</xdr:row>
      <xdr:rowOff>95250</xdr:rowOff>
    </xdr:from>
    <xdr:to>
      <xdr:col>5</xdr:col>
      <xdr:colOff>1514475</xdr:colOff>
      <xdr:row>9</xdr:row>
      <xdr:rowOff>19050</xdr:rowOff>
    </xdr:to>
    <xdr:sp macro="" textlink="Analysis!E4">
      <xdr:nvSpPr>
        <xdr:cNvPr id="76" name="TextBox 75">
          <a:extLst>
            <a:ext uri="{FF2B5EF4-FFF2-40B4-BE49-F238E27FC236}">
              <a16:creationId xmlns:a16="http://schemas.microsoft.com/office/drawing/2014/main" id="{A64611AA-B100-5080-5FEA-540D8A814413}"/>
            </a:ext>
          </a:extLst>
        </xdr:cNvPr>
        <xdr:cNvSpPr txBox="1"/>
      </xdr:nvSpPr>
      <xdr:spPr>
        <a:xfrm>
          <a:off x="4886326" y="1247775"/>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0439D2-B9EB-4AD5-A830-E3FD43342C40}" type="TxLink">
            <a:rPr lang="en-US" sz="2400" b="1" i="0" u="none" strike="noStrike">
              <a:solidFill>
                <a:schemeClr val="bg1">
                  <a:lumMod val="95000"/>
                </a:schemeClr>
              </a:solidFill>
              <a:latin typeface="Calibri"/>
              <a:ea typeface="+mn-ea"/>
              <a:cs typeface="Calibri"/>
            </a:rPr>
            <a:pPr marL="0" indent="0"/>
            <a:t>118</a:t>
          </a:fld>
          <a:endParaRPr lang="en-US" sz="2400" b="1" i="0" u="none" strike="noStrike">
            <a:solidFill>
              <a:schemeClr val="bg1">
                <a:lumMod val="95000"/>
              </a:schemeClr>
            </a:solidFill>
            <a:latin typeface="Calibri"/>
            <a:ea typeface="+mn-ea"/>
            <a:cs typeface="Calibri"/>
          </a:endParaRPr>
        </a:p>
      </xdr:txBody>
    </xdr:sp>
    <xdr:clientData/>
  </xdr:twoCellAnchor>
  <xdr:twoCellAnchor editAs="absolute">
    <xdr:from>
      <xdr:col>5</xdr:col>
      <xdr:colOff>447675</xdr:colOff>
      <xdr:row>5</xdr:row>
      <xdr:rowOff>57150</xdr:rowOff>
    </xdr:from>
    <xdr:to>
      <xdr:col>5</xdr:col>
      <xdr:colOff>1152525</xdr:colOff>
      <xdr:row>6</xdr:row>
      <xdr:rowOff>152400</xdr:rowOff>
    </xdr:to>
    <xdr:sp macro="" textlink="">
      <xdr:nvSpPr>
        <xdr:cNvPr id="77" name="TextBox 76">
          <a:extLst>
            <a:ext uri="{FF2B5EF4-FFF2-40B4-BE49-F238E27FC236}">
              <a16:creationId xmlns:a16="http://schemas.microsoft.com/office/drawing/2014/main" id="{439E87D2-D93D-3778-5547-4F14F712A03B}"/>
            </a:ext>
          </a:extLst>
        </xdr:cNvPr>
        <xdr:cNvSpPr txBox="1"/>
      </xdr:nvSpPr>
      <xdr:spPr>
        <a:xfrm>
          <a:off x="4705350" y="1019175"/>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Male</a:t>
          </a:r>
          <a:endParaRPr lang="en-US" sz="1200" b="1" i="1">
            <a:solidFill>
              <a:schemeClr val="accent6">
                <a:lumMod val="60000"/>
                <a:lumOff val="40000"/>
              </a:schemeClr>
            </a:solidFill>
          </a:endParaRPr>
        </a:p>
      </xdr:txBody>
    </xdr:sp>
    <xdr:clientData/>
  </xdr:twoCellAnchor>
  <xdr:twoCellAnchor editAs="absolute">
    <xdr:from>
      <xdr:col>5</xdr:col>
      <xdr:colOff>1676400</xdr:colOff>
      <xdr:row>5</xdr:row>
      <xdr:rowOff>104775</xdr:rowOff>
    </xdr:from>
    <xdr:to>
      <xdr:col>5</xdr:col>
      <xdr:colOff>2381250</xdr:colOff>
      <xdr:row>7</xdr:row>
      <xdr:rowOff>9525</xdr:rowOff>
    </xdr:to>
    <xdr:sp macro="" textlink="">
      <xdr:nvSpPr>
        <xdr:cNvPr id="78" name="TextBox 77">
          <a:extLst>
            <a:ext uri="{FF2B5EF4-FFF2-40B4-BE49-F238E27FC236}">
              <a16:creationId xmlns:a16="http://schemas.microsoft.com/office/drawing/2014/main" id="{7E1E0A06-411C-DD6D-BDE5-659437B716A8}"/>
            </a:ext>
          </a:extLst>
        </xdr:cNvPr>
        <xdr:cNvSpPr txBox="1"/>
      </xdr:nvSpPr>
      <xdr:spPr>
        <a:xfrm>
          <a:off x="5934075" y="106680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Female</a:t>
          </a:r>
          <a:endParaRPr lang="en-US" sz="1200" b="1" i="1">
            <a:solidFill>
              <a:schemeClr val="accent6">
                <a:lumMod val="60000"/>
                <a:lumOff val="40000"/>
              </a:schemeClr>
            </a:solidFill>
          </a:endParaRPr>
        </a:p>
      </xdr:txBody>
    </xdr:sp>
    <xdr:clientData/>
  </xdr:twoCellAnchor>
  <xdr:twoCellAnchor editAs="absolute">
    <xdr:from>
      <xdr:col>5</xdr:col>
      <xdr:colOff>1962151</xdr:colOff>
      <xdr:row>6</xdr:row>
      <xdr:rowOff>95250</xdr:rowOff>
    </xdr:from>
    <xdr:to>
      <xdr:col>5</xdr:col>
      <xdr:colOff>2847975</xdr:colOff>
      <xdr:row>9</xdr:row>
      <xdr:rowOff>19050</xdr:rowOff>
    </xdr:to>
    <xdr:sp macro="" textlink="Analysis!E3">
      <xdr:nvSpPr>
        <xdr:cNvPr id="79" name="TextBox 78">
          <a:extLst>
            <a:ext uri="{FF2B5EF4-FFF2-40B4-BE49-F238E27FC236}">
              <a16:creationId xmlns:a16="http://schemas.microsoft.com/office/drawing/2014/main" id="{CFEC7086-BB17-5AF0-D62B-D5887FFB09F6}"/>
            </a:ext>
          </a:extLst>
        </xdr:cNvPr>
        <xdr:cNvSpPr txBox="1"/>
      </xdr:nvSpPr>
      <xdr:spPr>
        <a:xfrm>
          <a:off x="6219826" y="1247775"/>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6F6936-A327-47DB-9D39-1D8194C770F0}" type="TxLink">
            <a:rPr lang="en-US" sz="2400" b="1" i="0" u="none" strike="noStrike">
              <a:solidFill>
                <a:schemeClr val="bg1">
                  <a:lumMod val="95000"/>
                </a:schemeClr>
              </a:solidFill>
              <a:latin typeface="Calibri"/>
              <a:ea typeface="+mn-ea"/>
              <a:cs typeface="Calibri"/>
            </a:rPr>
            <a:pPr marL="0" indent="0"/>
            <a:t>33</a:t>
          </a:fld>
          <a:endParaRPr lang="en-US" sz="2400" b="1" i="0" u="none" strike="noStrike">
            <a:solidFill>
              <a:schemeClr val="bg1">
                <a:lumMod val="95000"/>
              </a:schemeClr>
            </a:solidFill>
            <a:latin typeface="Calibri"/>
            <a:ea typeface="+mn-ea"/>
            <a:cs typeface="Calibri"/>
          </a:endParaRPr>
        </a:p>
      </xdr:txBody>
    </xdr:sp>
    <xdr:clientData/>
  </xdr:twoCellAnchor>
  <xdr:twoCellAnchor editAs="absolute">
    <xdr:from>
      <xdr:col>4</xdr:col>
      <xdr:colOff>533400</xdr:colOff>
      <xdr:row>5</xdr:row>
      <xdr:rowOff>133350</xdr:rowOff>
    </xdr:from>
    <xdr:to>
      <xdr:col>5</xdr:col>
      <xdr:colOff>838200</xdr:colOff>
      <xdr:row>9</xdr:row>
      <xdr:rowOff>66294</xdr:rowOff>
    </xdr:to>
    <xdr:graphicFrame macro="">
      <xdr:nvGraphicFramePr>
        <xdr:cNvPr id="80" name="Chart 79">
          <a:extLst>
            <a:ext uri="{FF2B5EF4-FFF2-40B4-BE49-F238E27FC236}">
              <a16:creationId xmlns:a16="http://schemas.microsoft.com/office/drawing/2014/main" id="{BDBEDE3B-54EA-4DBE-AE30-6339EE949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5</xdr:col>
      <xdr:colOff>1152525</xdr:colOff>
      <xdr:row>5</xdr:row>
      <xdr:rowOff>133350</xdr:rowOff>
    </xdr:from>
    <xdr:to>
      <xdr:col>5</xdr:col>
      <xdr:colOff>2066925</xdr:colOff>
      <xdr:row>9</xdr:row>
      <xdr:rowOff>66294</xdr:rowOff>
    </xdr:to>
    <xdr:graphicFrame macro="">
      <xdr:nvGraphicFramePr>
        <xdr:cNvPr id="83" name="Chart 82">
          <a:extLst>
            <a:ext uri="{FF2B5EF4-FFF2-40B4-BE49-F238E27FC236}">
              <a16:creationId xmlns:a16="http://schemas.microsoft.com/office/drawing/2014/main" id="{D1172303-D5B1-34BC-D8E5-C3876F15F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5</xdr:col>
      <xdr:colOff>161924</xdr:colOff>
      <xdr:row>6</xdr:row>
      <xdr:rowOff>157161</xdr:rowOff>
    </xdr:from>
    <xdr:to>
      <xdr:col>5</xdr:col>
      <xdr:colOff>676275</xdr:colOff>
      <xdr:row>8</xdr:row>
      <xdr:rowOff>33338</xdr:rowOff>
    </xdr:to>
    <xdr:sp macro="" textlink="Analysis!F4">
      <xdr:nvSpPr>
        <xdr:cNvPr id="84" name="TextBox 83">
          <a:extLst>
            <a:ext uri="{FF2B5EF4-FFF2-40B4-BE49-F238E27FC236}">
              <a16:creationId xmlns:a16="http://schemas.microsoft.com/office/drawing/2014/main" id="{75E5ED97-8ECF-F9EB-4799-4C9412F917E5}"/>
            </a:ext>
          </a:extLst>
        </xdr:cNvPr>
        <xdr:cNvSpPr txBox="1"/>
      </xdr:nvSpPr>
      <xdr:spPr>
        <a:xfrm>
          <a:off x="4419599" y="1309686"/>
          <a:ext cx="514351" cy="257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B0986A-538B-4782-A60A-609A8F24957E}" type="TxLink">
            <a:rPr lang="en-US" sz="1050" b="1" i="0" u="none" strike="noStrike">
              <a:solidFill>
                <a:schemeClr val="bg1">
                  <a:lumMod val="95000"/>
                </a:schemeClr>
              </a:solidFill>
              <a:latin typeface="Calibri"/>
              <a:ea typeface="+mn-ea"/>
              <a:cs typeface="Calibri"/>
            </a:rPr>
            <a:pPr marL="0" indent="0"/>
            <a:t>78%</a:t>
          </a:fld>
          <a:endParaRPr lang="en-US" sz="1050" b="1" i="0" u="none" strike="noStrike">
            <a:solidFill>
              <a:schemeClr val="bg1">
                <a:lumMod val="95000"/>
              </a:schemeClr>
            </a:solidFill>
            <a:latin typeface="Calibri"/>
            <a:ea typeface="+mn-ea"/>
            <a:cs typeface="Calibri"/>
          </a:endParaRPr>
        </a:p>
      </xdr:txBody>
    </xdr:sp>
    <xdr:clientData/>
  </xdr:twoCellAnchor>
  <xdr:twoCellAnchor editAs="absolute">
    <xdr:from>
      <xdr:col>5</xdr:col>
      <xdr:colOff>1419224</xdr:colOff>
      <xdr:row>6</xdr:row>
      <xdr:rowOff>157161</xdr:rowOff>
    </xdr:from>
    <xdr:to>
      <xdr:col>5</xdr:col>
      <xdr:colOff>1933575</xdr:colOff>
      <xdr:row>8</xdr:row>
      <xdr:rowOff>33338</xdr:rowOff>
    </xdr:to>
    <xdr:sp macro="" textlink="Analysis!F3">
      <xdr:nvSpPr>
        <xdr:cNvPr id="85" name="TextBox 84">
          <a:extLst>
            <a:ext uri="{FF2B5EF4-FFF2-40B4-BE49-F238E27FC236}">
              <a16:creationId xmlns:a16="http://schemas.microsoft.com/office/drawing/2014/main" id="{B37002AF-0F78-DDEA-9DC8-D7818ACA9654}"/>
            </a:ext>
          </a:extLst>
        </xdr:cNvPr>
        <xdr:cNvSpPr txBox="1"/>
      </xdr:nvSpPr>
      <xdr:spPr>
        <a:xfrm>
          <a:off x="5676899" y="1309686"/>
          <a:ext cx="514351" cy="257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1C3BCD-8AF5-49AF-91A1-7EE759772AD2}" type="TxLink">
            <a:rPr lang="en-US" sz="1050" b="1" i="0" u="none" strike="noStrike">
              <a:solidFill>
                <a:schemeClr val="bg1">
                  <a:lumMod val="95000"/>
                </a:schemeClr>
              </a:solidFill>
              <a:latin typeface="Calibri"/>
              <a:ea typeface="+mn-ea"/>
              <a:cs typeface="Calibri"/>
            </a:rPr>
            <a:pPr marL="0" indent="0"/>
            <a:t>22%</a:t>
          </a:fld>
          <a:endParaRPr lang="en-US" sz="1050" b="1" i="0" u="none" strike="noStrike">
            <a:solidFill>
              <a:schemeClr val="bg1">
                <a:lumMod val="95000"/>
              </a:schemeClr>
            </a:solidFill>
            <a:latin typeface="Calibri"/>
            <a:ea typeface="+mn-ea"/>
            <a:cs typeface="Calibri"/>
          </a:endParaRPr>
        </a:p>
      </xdr:txBody>
    </xdr:sp>
    <xdr:clientData/>
  </xdr:twoCellAnchor>
  <xdr:twoCellAnchor editAs="absolute">
    <xdr:from>
      <xdr:col>6</xdr:col>
      <xdr:colOff>266701</xdr:colOff>
      <xdr:row>5</xdr:row>
      <xdr:rowOff>152400</xdr:rowOff>
    </xdr:from>
    <xdr:to>
      <xdr:col>7</xdr:col>
      <xdr:colOff>542925</xdr:colOff>
      <xdr:row>8</xdr:row>
      <xdr:rowOff>76200</xdr:rowOff>
    </xdr:to>
    <xdr:sp macro="" textlink="Analysis!I3">
      <xdr:nvSpPr>
        <xdr:cNvPr id="86" name="TextBox 85">
          <a:extLst>
            <a:ext uri="{FF2B5EF4-FFF2-40B4-BE49-F238E27FC236}">
              <a16:creationId xmlns:a16="http://schemas.microsoft.com/office/drawing/2014/main" id="{FCB2BA2A-E8E0-0C3F-5B7E-C278E20421F2}"/>
            </a:ext>
          </a:extLst>
        </xdr:cNvPr>
        <xdr:cNvSpPr txBox="1"/>
      </xdr:nvSpPr>
      <xdr:spPr>
        <a:xfrm>
          <a:off x="8134351" y="1114425"/>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EDC11B-33A1-4113-BCAD-F45E54BC867B}" type="TxLink">
            <a:rPr lang="en-US" sz="3600" b="1" i="0" u="none" strike="noStrike">
              <a:solidFill>
                <a:schemeClr val="bg1">
                  <a:lumMod val="95000"/>
                </a:schemeClr>
              </a:solidFill>
              <a:latin typeface="Calibri"/>
              <a:ea typeface="+mn-ea"/>
              <a:cs typeface="Calibri"/>
            </a:rPr>
            <a:pPr marL="0" indent="0"/>
            <a:t>141</a:t>
          </a:fld>
          <a:endParaRPr lang="en-US" sz="3600" b="1" i="0" u="none" strike="noStrike">
            <a:solidFill>
              <a:schemeClr val="bg1">
                <a:lumMod val="95000"/>
              </a:schemeClr>
            </a:solidFill>
            <a:latin typeface="Calibri"/>
            <a:ea typeface="+mn-ea"/>
            <a:cs typeface="Calibri"/>
          </a:endParaRPr>
        </a:p>
      </xdr:txBody>
    </xdr:sp>
    <xdr:clientData/>
  </xdr:twoCellAnchor>
  <xdr:twoCellAnchor editAs="absolute">
    <xdr:from>
      <xdr:col>10</xdr:col>
      <xdr:colOff>361951</xdr:colOff>
      <xdr:row>5</xdr:row>
      <xdr:rowOff>152400</xdr:rowOff>
    </xdr:from>
    <xdr:to>
      <xdr:col>12</xdr:col>
      <xdr:colOff>28575</xdr:colOff>
      <xdr:row>8</xdr:row>
      <xdr:rowOff>76200</xdr:rowOff>
    </xdr:to>
    <xdr:sp macro="" textlink="Analysis!I4">
      <xdr:nvSpPr>
        <xdr:cNvPr id="87" name="TextBox 86">
          <a:extLst>
            <a:ext uri="{FF2B5EF4-FFF2-40B4-BE49-F238E27FC236}">
              <a16:creationId xmlns:a16="http://schemas.microsoft.com/office/drawing/2014/main" id="{C89D3428-DA31-582A-E5D2-EA53558AA4D5}"/>
            </a:ext>
          </a:extLst>
        </xdr:cNvPr>
        <xdr:cNvSpPr txBox="1"/>
      </xdr:nvSpPr>
      <xdr:spPr>
        <a:xfrm>
          <a:off x="10668001" y="1114425"/>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9878C3-050A-4794-91D4-5678C6AC3470}" type="TxLink">
            <a:rPr lang="en-US" sz="3600" b="1" i="0" u="none" strike="noStrike">
              <a:solidFill>
                <a:schemeClr val="bg1">
                  <a:lumMod val="95000"/>
                </a:schemeClr>
              </a:solidFill>
              <a:latin typeface="Calibri"/>
              <a:ea typeface="+mn-ea"/>
              <a:cs typeface="Calibri"/>
            </a:rPr>
            <a:pPr marL="0" indent="0"/>
            <a:t>10</a:t>
          </a:fld>
          <a:endParaRPr lang="en-US" sz="3600" b="1" i="0" u="none" strike="noStrike">
            <a:solidFill>
              <a:schemeClr val="bg1">
                <a:lumMod val="95000"/>
              </a:schemeClr>
            </a:solidFill>
            <a:latin typeface="Calibri"/>
            <a:ea typeface="+mn-ea"/>
            <a:cs typeface="Calibri"/>
          </a:endParaRPr>
        </a:p>
      </xdr:txBody>
    </xdr:sp>
    <xdr:clientData/>
  </xdr:twoCellAnchor>
  <xdr:twoCellAnchor editAs="absolute">
    <xdr:from>
      <xdr:col>3</xdr:col>
      <xdr:colOff>1609726</xdr:colOff>
      <xdr:row>9</xdr:row>
      <xdr:rowOff>104775</xdr:rowOff>
    </xdr:from>
    <xdr:to>
      <xdr:col>4</xdr:col>
      <xdr:colOff>352425</xdr:colOff>
      <xdr:row>12</xdr:row>
      <xdr:rowOff>28575</xdr:rowOff>
    </xdr:to>
    <xdr:sp macro="" textlink="Analysis!C11">
      <xdr:nvSpPr>
        <xdr:cNvPr id="88" name="TextBox 87">
          <a:extLst>
            <a:ext uri="{FF2B5EF4-FFF2-40B4-BE49-F238E27FC236}">
              <a16:creationId xmlns:a16="http://schemas.microsoft.com/office/drawing/2014/main" id="{8185CA91-87CC-AC8C-3642-024335F96D0C}"/>
            </a:ext>
          </a:extLst>
        </xdr:cNvPr>
        <xdr:cNvSpPr txBox="1"/>
      </xdr:nvSpPr>
      <xdr:spPr>
        <a:xfrm>
          <a:off x="3114676" y="1828800"/>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AF5759-A91D-46F8-9E09-5772149ED200}" type="TxLink">
            <a:rPr lang="en-US" sz="3200" b="1" i="0" u="none" strike="noStrike">
              <a:solidFill>
                <a:schemeClr val="bg1">
                  <a:lumMod val="95000"/>
                </a:schemeClr>
              </a:solidFill>
              <a:latin typeface="Calibri"/>
              <a:ea typeface="+mn-ea"/>
              <a:cs typeface="Calibri"/>
            </a:rPr>
            <a:pPr marL="0" indent="0"/>
            <a:t>57</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5</xdr:col>
      <xdr:colOff>1352551</xdr:colOff>
      <xdr:row>9</xdr:row>
      <xdr:rowOff>85725</xdr:rowOff>
    </xdr:from>
    <xdr:to>
      <xdr:col>5</xdr:col>
      <xdr:colOff>2238375</xdr:colOff>
      <xdr:row>12</xdr:row>
      <xdr:rowOff>9525</xdr:rowOff>
    </xdr:to>
    <xdr:sp macro="" textlink="Analysis!C10">
      <xdr:nvSpPr>
        <xdr:cNvPr id="90" name="TextBox 89">
          <a:extLst>
            <a:ext uri="{FF2B5EF4-FFF2-40B4-BE49-F238E27FC236}">
              <a16:creationId xmlns:a16="http://schemas.microsoft.com/office/drawing/2014/main" id="{B3D6AE95-66F1-B16D-81DD-AC4B9A62919D}"/>
            </a:ext>
          </a:extLst>
        </xdr:cNvPr>
        <xdr:cNvSpPr txBox="1"/>
      </xdr:nvSpPr>
      <xdr:spPr>
        <a:xfrm>
          <a:off x="5610226" y="1809750"/>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C3B584-5856-4C30-B102-51273490D70F}" type="TxLink">
            <a:rPr lang="en-US" sz="3200" b="1" i="0" u="none" strike="noStrike">
              <a:solidFill>
                <a:schemeClr val="bg1">
                  <a:lumMod val="95000"/>
                </a:schemeClr>
              </a:solidFill>
              <a:latin typeface="Calibri"/>
              <a:ea typeface="+mn-ea"/>
              <a:cs typeface="Calibri"/>
            </a:rPr>
            <a:pPr marL="0" indent="0"/>
            <a:t>90</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6</xdr:col>
      <xdr:colOff>238126</xdr:colOff>
      <xdr:row>9</xdr:row>
      <xdr:rowOff>85725</xdr:rowOff>
    </xdr:from>
    <xdr:to>
      <xdr:col>7</xdr:col>
      <xdr:colOff>514350</xdr:colOff>
      <xdr:row>12</xdr:row>
      <xdr:rowOff>9525</xdr:rowOff>
    </xdr:to>
    <xdr:sp macro="" textlink="Analysis!C9">
      <xdr:nvSpPr>
        <xdr:cNvPr id="91" name="TextBox 90">
          <a:extLst>
            <a:ext uri="{FF2B5EF4-FFF2-40B4-BE49-F238E27FC236}">
              <a16:creationId xmlns:a16="http://schemas.microsoft.com/office/drawing/2014/main" id="{1F4638DA-051E-1FFD-471F-9EA590A399A4}"/>
            </a:ext>
          </a:extLst>
        </xdr:cNvPr>
        <xdr:cNvSpPr txBox="1"/>
      </xdr:nvSpPr>
      <xdr:spPr>
        <a:xfrm>
          <a:off x="8105776" y="1809750"/>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B456C2-E288-4339-9E5E-C2D8F0C6F655}" type="TxLink">
            <a:rPr lang="en-US" sz="3200" b="1" i="0" u="none" strike="noStrike">
              <a:solidFill>
                <a:schemeClr val="bg1">
                  <a:lumMod val="95000"/>
                </a:schemeClr>
              </a:solidFill>
              <a:latin typeface="Calibri"/>
              <a:ea typeface="+mn-ea"/>
              <a:cs typeface="Calibri"/>
            </a:rPr>
            <a:pPr marL="0" indent="0"/>
            <a:t>4</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3</xdr:col>
      <xdr:colOff>771525</xdr:colOff>
      <xdr:row>10</xdr:row>
      <xdr:rowOff>95250</xdr:rowOff>
    </xdr:from>
    <xdr:to>
      <xdr:col>3</xdr:col>
      <xdr:colOff>1181100</xdr:colOff>
      <xdr:row>12</xdr:row>
      <xdr:rowOff>123825</xdr:rowOff>
    </xdr:to>
    <xdr:sp macro="" textlink="">
      <xdr:nvSpPr>
        <xdr:cNvPr id="92" name="Oval 91">
          <a:extLst>
            <a:ext uri="{FF2B5EF4-FFF2-40B4-BE49-F238E27FC236}">
              <a16:creationId xmlns:a16="http://schemas.microsoft.com/office/drawing/2014/main" id="{0134A2EC-F510-AC48-5C03-9AF4261A5F0A}"/>
            </a:ext>
          </a:extLst>
        </xdr:cNvPr>
        <xdr:cNvSpPr/>
      </xdr:nvSpPr>
      <xdr:spPr>
        <a:xfrm>
          <a:off x="2276475" y="2009775"/>
          <a:ext cx="409575" cy="409575"/>
        </a:xfrm>
        <a:prstGeom prst="ellipse">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1095375</xdr:colOff>
      <xdr:row>10</xdr:row>
      <xdr:rowOff>123825</xdr:rowOff>
    </xdr:from>
    <xdr:to>
      <xdr:col>3</xdr:col>
      <xdr:colOff>1186815</xdr:colOff>
      <xdr:row>11</xdr:row>
      <xdr:rowOff>24765</xdr:rowOff>
    </xdr:to>
    <xdr:sp macro="" textlink="">
      <xdr:nvSpPr>
        <xdr:cNvPr id="93" name="Oval 92">
          <a:extLst>
            <a:ext uri="{FF2B5EF4-FFF2-40B4-BE49-F238E27FC236}">
              <a16:creationId xmlns:a16="http://schemas.microsoft.com/office/drawing/2014/main" id="{BC346D8A-F703-7190-5EBE-E53158FE56AB}"/>
            </a:ext>
          </a:extLst>
        </xdr:cNvPr>
        <xdr:cNvSpPr/>
      </xdr:nvSpPr>
      <xdr:spPr>
        <a:xfrm>
          <a:off x="2600325" y="2038350"/>
          <a:ext cx="91440" cy="9144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266700</xdr:colOff>
      <xdr:row>10</xdr:row>
      <xdr:rowOff>95250</xdr:rowOff>
    </xdr:from>
    <xdr:to>
      <xdr:col>5</xdr:col>
      <xdr:colOff>676275</xdr:colOff>
      <xdr:row>12</xdr:row>
      <xdr:rowOff>123825</xdr:rowOff>
    </xdr:to>
    <xdr:sp macro="" textlink="">
      <xdr:nvSpPr>
        <xdr:cNvPr id="94" name="Oval 93">
          <a:extLst>
            <a:ext uri="{FF2B5EF4-FFF2-40B4-BE49-F238E27FC236}">
              <a16:creationId xmlns:a16="http://schemas.microsoft.com/office/drawing/2014/main" id="{CABDDABB-17D8-A28A-C094-DEFD84D7E6AB}"/>
            </a:ext>
          </a:extLst>
        </xdr:cNvPr>
        <xdr:cNvSpPr/>
      </xdr:nvSpPr>
      <xdr:spPr>
        <a:xfrm>
          <a:off x="4524375" y="2009775"/>
          <a:ext cx="409575" cy="409575"/>
        </a:xfrm>
        <a:prstGeom prst="ellipse">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590550</xdr:colOff>
      <xdr:row>10</xdr:row>
      <xdr:rowOff>133350</xdr:rowOff>
    </xdr:from>
    <xdr:to>
      <xdr:col>5</xdr:col>
      <xdr:colOff>681990</xdr:colOff>
      <xdr:row>11</xdr:row>
      <xdr:rowOff>34290</xdr:rowOff>
    </xdr:to>
    <xdr:sp macro="" textlink="">
      <xdr:nvSpPr>
        <xdr:cNvPr id="95" name="Oval 94">
          <a:extLst>
            <a:ext uri="{FF2B5EF4-FFF2-40B4-BE49-F238E27FC236}">
              <a16:creationId xmlns:a16="http://schemas.microsoft.com/office/drawing/2014/main" id="{AE38C082-3730-5ABF-94C5-65825DE9291C}"/>
            </a:ext>
          </a:extLst>
        </xdr:cNvPr>
        <xdr:cNvSpPr/>
      </xdr:nvSpPr>
      <xdr:spPr>
        <a:xfrm>
          <a:off x="4848225" y="2047875"/>
          <a:ext cx="91440" cy="9144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2914650</xdr:colOff>
      <xdr:row>10</xdr:row>
      <xdr:rowOff>114300</xdr:rowOff>
    </xdr:from>
    <xdr:to>
      <xdr:col>5</xdr:col>
      <xdr:colOff>3324225</xdr:colOff>
      <xdr:row>12</xdr:row>
      <xdr:rowOff>142875</xdr:rowOff>
    </xdr:to>
    <xdr:sp macro="" textlink="">
      <xdr:nvSpPr>
        <xdr:cNvPr id="101" name="Oval 100">
          <a:extLst>
            <a:ext uri="{FF2B5EF4-FFF2-40B4-BE49-F238E27FC236}">
              <a16:creationId xmlns:a16="http://schemas.microsoft.com/office/drawing/2014/main" id="{F9F13682-279D-EA2E-9A6E-456C4CA6C1A9}"/>
            </a:ext>
          </a:extLst>
        </xdr:cNvPr>
        <xdr:cNvSpPr/>
      </xdr:nvSpPr>
      <xdr:spPr>
        <a:xfrm>
          <a:off x="7172325" y="2028825"/>
          <a:ext cx="409575" cy="409575"/>
        </a:xfrm>
        <a:prstGeom prst="ellipse">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3238500</xdr:colOff>
      <xdr:row>10</xdr:row>
      <xdr:rowOff>152400</xdr:rowOff>
    </xdr:from>
    <xdr:to>
      <xdr:col>5</xdr:col>
      <xdr:colOff>3329940</xdr:colOff>
      <xdr:row>11</xdr:row>
      <xdr:rowOff>53340</xdr:rowOff>
    </xdr:to>
    <xdr:sp macro="" textlink="">
      <xdr:nvSpPr>
        <xdr:cNvPr id="102" name="Oval 101">
          <a:extLst>
            <a:ext uri="{FF2B5EF4-FFF2-40B4-BE49-F238E27FC236}">
              <a16:creationId xmlns:a16="http://schemas.microsoft.com/office/drawing/2014/main" id="{C4FBE02A-714E-68BE-FE83-204B5BBE62A6}"/>
            </a:ext>
          </a:extLst>
        </xdr:cNvPr>
        <xdr:cNvSpPr/>
      </xdr:nvSpPr>
      <xdr:spPr>
        <a:xfrm>
          <a:off x="7496175" y="2066925"/>
          <a:ext cx="91440" cy="9144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82868"/>
            </a:solidFill>
          </a:endParaRPr>
        </a:p>
      </xdr:txBody>
    </xdr:sp>
    <xdr:clientData/>
  </xdr:twoCellAnchor>
  <xdr:twoCellAnchor editAs="absolute">
    <xdr:from>
      <xdr:col>3</xdr:col>
      <xdr:colOff>1657350</xdr:colOff>
      <xdr:row>11</xdr:row>
      <xdr:rowOff>104775</xdr:rowOff>
    </xdr:from>
    <xdr:to>
      <xdr:col>4</xdr:col>
      <xdr:colOff>219075</xdr:colOff>
      <xdr:row>13</xdr:row>
      <xdr:rowOff>9525</xdr:rowOff>
    </xdr:to>
    <xdr:sp macro="" textlink="">
      <xdr:nvSpPr>
        <xdr:cNvPr id="103" name="TextBox 102">
          <a:extLst>
            <a:ext uri="{FF2B5EF4-FFF2-40B4-BE49-F238E27FC236}">
              <a16:creationId xmlns:a16="http://schemas.microsoft.com/office/drawing/2014/main" id="{F5370103-8C15-E6CD-3595-D2F1D4D358BE}"/>
            </a:ext>
          </a:extLst>
        </xdr:cNvPr>
        <xdr:cNvSpPr txBox="1"/>
      </xdr:nvSpPr>
      <xdr:spPr>
        <a:xfrm>
          <a:off x="3162300" y="220980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Single</a:t>
          </a:r>
          <a:endParaRPr lang="en-US" sz="1200" b="1" i="1">
            <a:solidFill>
              <a:schemeClr val="accent6">
                <a:lumMod val="60000"/>
                <a:lumOff val="40000"/>
              </a:schemeClr>
            </a:solidFill>
          </a:endParaRPr>
        </a:p>
      </xdr:txBody>
    </xdr:sp>
    <xdr:clientData/>
  </xdr:twoCellAnchor>
  <xdr:twoCellAnchor editAs="absolute">
    <xdr:from>
      <xdr:col>5</xdr:col>
      <xdr:colOff>1390650</xdr:colOff>
      <xdr:row>11</xdr:row>
      <xdr:rowOff>104775</xdr:rowOff>
    </xdr:from>
    <xdr:to>
      <xdr:col>5</xdr:col>
      <xdr:colOff>2095500</xdr:colOff>
      <xdr:row>13</xdr:row>
      <xdr:rowOff>9525</xdr:rowOff>
    </xdr:to>
    <xdr:sp macro="" textlink="">
      <xdr:nvSpPr>
        <xdr:cNvPr id="104" name="TextBox 103">
          <a:extLst>
            <a:ext uri="{FF2B5EF4-FFF2-40B4-BE49-F238E27FC236}">
              <a16:creationId xmlns:a16="http://schemas.microsoft.com/office/drawing/2014/main" id="{BFEEA038-4652-7A1F-3C6C-9C83BE009503}"/>
            </a:ext>
          </a:extLst>
        </xdr:cNvPr>
        <xdr:cNvSpPr txBox="1"/>
      </xdr:nvSpPr>
      <xdr:spPr>
        <a:xfrm>
          <a:off x="5648325" y="220980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Married</a:t>
          </a:r>
          <a:endParaRPr lang="en-US" sz="1200" b="1" i="1">
            <a:solidFill>
              <a:schemeClr val="accent6">
                <a:lumMod val="60000"/>
                <a:lumOff val="40000"/>
              </a:schemeClr>
            </a:solidFill>
          </a:endParaRPr>
        </a:p>
      </xdr:txBody>
    </xdr:sp>
    <xdr:clientData/>
  </xdr:twoCellAnchor>
  <xdr:twoCellAnchor editAs="absolute">
    <xdr:from>
      <xdr:col>6</xdr:col>
      <xdr:colOff>219075</xdr:colOff>
      <xdr:row>11</xdr:row>
      <xdr:rowOff>104775</xdr:rowOff>
    </xdr:from>
    <xdr:to>
      <xdr:col>7</xdr:col>
      <xdr:colOff>314325</xdr:colOff>
      <xdr:row>13</xdr:row>
      <xdr:rowOff>9525</xdr:rowOff>
    </xdr:to>
    <xdr:sp macro="" textlink="">
      <xdr:nvSpPr>
        <xdr:cNvPr id="105" name="TextBox 104">
          <a:extLst>
            <a:ext uri="{FF2B5EF4-FFF2-40B4-BE49-F238E27FC236}">
              <a16:creationId xmlns:a16="http://schemas.microsoft.com/office/drawing/2014/main" id="{89C56A38-25BD-0701-3328-D62352AC4D71}"/>
            </a:ext>
          </a:extLst>
        </xdr:cNvPr>
        <xdr:cNvSpPr txBox="1"/>
      </xdr:nvSpPr>
      <xdr:spPr>
        <a:xfrm>
          <a:off x="8086725" y="2209800"/>
          <a:ext cx="704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Divorce</a:t>
          </a:r>
          <a:endParaRPr lang="en-US" sz="1200" b="1" i="1">
            <a:solidFill>
              <a:schemeClr val="accent6">
                <a:lumMod val="60000"/>
                <a:lumOff val="40000"/>
              </a:schemeClr>
            </a:solidFill>
          </a:endParaRPr>
        </a:p>
      </xdr:txBody>
    </xdr:sp>
    <xdr:clientData/>
  </xdr:twoCellAnchor>
  <xdr:twoCellAnchor editAs="absolute">
    <xdr:from>
      <xdr:col>3</xdr:col>
      <xdr:colOff>2057401</xdr:colOff>
      <xdr:row>10</xdr:row>
      <xdr:rowOff>133350</xdr:rowOff>
    </xdr:from>
    <xdr:to>
      <xdr:col>4</xdr:col>
      <xdr:colOff>390525</xdr:colOff>
      <xdr:row>12</xdr:row>
      <xdr:rowOff>57150</xdr:rowOff>
    </xdr:to>
    <xdr:sp macro="" textlink="Analysis!D11">
      <xdr:nvSpPr>
        <xdr:cNvPr id="106" name="TextBox 105">
          <a:extLst>
            <a:ext uri="{FF2B5EF4-FFF2-40B4-BE49-F238E27FC236}">
              <a16:creationId xmlns:a16="http://schemas.microsoft.com/office/drawing/2014/main" id="{9F500BE2-AAA1-DCE2-5E73-4A266A982061}"/>
            </a:ext>
          </a:extLst>
        </xdr:cNvPr>
        <xdr:cNvSpPr txBox="1"/>
      </xdr:nvSpPr>
      <xdr:spPr>
        <a:xfrm>
          <a:off x="3562351" y="2047875"/>
          <a:ext cx="476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CF774B-EE5D-4BFB-A691-66AE8036D63B}" type="TxLink">
            <a:rPr lang="en-US" sz="1200" b="1" i="0" u="none" strike="noStrike">
              <a:solidFill>
                <a:schemeClr val="bg1">
                  <a:lumMod val="95000"/>
                </a:schemeClr>
              </a:solidFill>
              <a:latin typeface="Calibri"/>
              <a:ea typeface="+mn-ea"/>
              <a:cs typeface="Calibri"/>
            </a:rPr>
            <a:pPr marL="0" indent="0"/>
            <a:t>38%</a:t>
          </a:fld>
          <a:endParaRPr lang="en-US" sz="1200" b="1" i="0" u="none" strike="noStrike">
            <a:solidFill>
              <a:schemeClr val="bg1">
                <a:lumMod val="95000"/>
              </a:schemeClr>
            </a:solidFill>
            <a:latin typeface="Calibri"/>
            <a:ea typeface="+mn-ea"/>
            <a:cs typeface="Calibri"/>
          </a:endParaRPr>
        </a:p>
      </xdr:txBody>
    </xdr:sp>
    <xdr:clientData/>
  </xdr:twoCellAnchor>
  <xdr:twoCellAnchor editAs="absolute">
    <xdr:from>
      <xdr:col>5</xdr:col>
      <xdr:colOff>1800226</xdr:colOff>
      <xdr:row>10</xdr:row>
      <xdr:rowOff>133350</xdr:rowOff>
    </xdr:from>
    <xdr:to>
      <xdr:col>5</xdr:col>
      <xdr:colOff>2276475</xdr:colOff>
      <xdr:row>12</xdr:row>
      <xdr:rowOff>57150</xdr:rowOff>
    </xdr:to>
    <xdr:sp macro="" textlink="Analysis!D10">
      <xdr:nvSpPr>
        <xdr:cNvPr id="107" name="TextBox 106">
          <a:extLst>
            <a:ext uri="{FF2B5EF4-FFF2-40B4-BE49-F238E27FC236}">
              <a16:creationId xmlns:a16="http://schemas.microsoft.com/office/drawing/2014/main" id="{73EC52DA-A999-8789-C7F1-F97992D2A1ED}"/>
            </a:ext>
          </a:extLst>
        </xdr:cNvPr>
        <xdr:cNvSpPr txBox="1"/>
      </xdr:nvSpPr>
      <xdr:spPr>
        <a:xfrm>
          <a:off x="6057901" y="2047875"/>
          <a:ext cx="476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C9297D-BA53-4C80-95BE-0A1A24EBF0C5}" type="TxLink">
            <a:rPr lang="en-US" sz="1200" b="1" i="0" u="none" strike="noStrike">
              <a:solidFill>
                <a:schemeClr val="bg1">
                  <a:lumMod val="95000"/>
                </a:schemeClr>
              </a:solidFill>
              <a:latin typeface="Calibri"/>
              <a:ea typeface="+mn-ea"/>
              <a:cs typeface="Calibri"/>
            </a:rPr>
            <a:pPr marL="0" indent="0"/>
            <a:t>60%</a:t>
          </a:fld>
          <a:endParaRPr lang="en-US" sz="1200" b="1" i="0" u="none" strike="noStrike">
            <a:solidFill>
              <a:schemeClr val="bg1">
                <a:lumMod val="95000"/>
              </a:schemeClr>
            </a:solidFill>
            <a:latin typeface="Calibri"/>
            <a:ea typeface="+mn-ea"/>
            <a:cs typeface="Calibri"/>
          </a:endParaRPr>
        </a:p>
      </xdr:txBody>
    </xdr:sp>
    <xdr:clientData/>
  </xdr:twoCellAnchor>
  <xdr:twoCellAnchor editAs="absolute">
    <xdr:from>
      <xdr:col>6</xdr:col>
      <xdr:colOff>533401</xdr:colOff>
      <xdr:row>10</xdr:row>
      <xdr:rowOff>123825</xdr:rowOff>
    </xdr:from>
    <xdr:to>
      <xdr:col>7</xdr:col>
      <xdr:colOff>400050</xdr:colOff>
      <xdr:row>12</xdr:row>
      <xdr:rowOff>47625</xdr:rowOff>
    </xdr:to>
    <xdr:sp macro="" textlink="Analysis!D9">
      <xdr:nvSpPr>
        <xdr:cNvPr id="108" name="TextBox 107">
          <a:extLst>
            <a:ext uri="{FF2B5EF4-FFF2-40B4-BE49-F238E27FC236}">
              <a16:creationId xmlns:a16="http://schemas.microsoft.com/office/drawing/2014/main" id="{25225962-D9A3-9232-23D8-5A450F77958F}"/>
            </a:ext>
          </a:extLst>
        </xdr:cNvPr>
        <xdr:cNvSpPr txBox="1"/>
      </xdr:nvSpPr>
      <xdr:spPr>
        <a:xfrm>
          <a:off x="8401051" y="2038350"/>
          <a:ext cx="476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0BE9F3-D45D-4066-AA1D-2BB45556B41D}" type="TxLink">
            <a:rPr lang="en-US" sz="1200" b="1" i="0" u="none" strike="noStrike">
              <a:solidFill>
                <a:schemeClr val="bg1">
                  <a:lumMod val="95000"/>
                </a:schemeClr>
              </a:solidFill>
              <a:latin typeface="Calibri"/>
              <a:ea typeface="+mn-ea"/>
              <a:cs typeface="Calibri"/>
            </a:rPr>
            <a:pPr marL="0" indent="0"/>
            <a:t>3%</a:t>
          </a:fld>
          <a:endParaRPr lang="en-US" sz="1200" b="1" i="0" u="none" strike="noStrike">
            <a:solidFill>
              <a:schemeClr val="bg1">
                <a:lumMod val="95000"/>
              </a:schemeClr>
            </a:solidFill>
            <a:latin typeface="Calibri"/>
            <a:ea typeface="+mn-ea"/>
            <a:cs typeface="Calibri"/>
          </a:endParaRPr>
        </a:p>
      </xdr:txBody>
    </xdr:sp>
    <xdr:clientData/>
  </xdr:twoCellAnchor>
  <xdr:twoCellAnchor editAs="absolute">
    <xdr:from>
      <xdr:col>8</xdr:col>
      <xdr:colOff>190501</xdr:colOff>
      <xdr:row>9</xdr:row>
      <xdr:rowOff>161925</xdr:rowOff>
    </xdr:from>
    <xdr:to>
      <xdr:col>9</xdr:col>
      <xdr:colOff>466725</xdr:colOff>
      <xdr:row>12</xdr:row>
      <xdr:rowOff>85725</xdr:rowOff>
    </xdr:to>
    <xdr:sp macro="" textlink="Analysis!C16">
      <xdr:nvSpPr>
        <xdr:cNvPr id="109" name="TextBox 108">
          <a:extLst>
            <a:ext uri="{FF2B5EF4-FFF2-40B4-BE49-F238E27FC236}">
              <a16:creationId xmlns:a16="http://schemas.microsoft.com/office/drawing/2014/main" id="{041CDEFC-BAB6-A65F-C520-0278A74B8098}"/>
            </a:ext>
          </a:extLst>
        </xdr:cNvPr>
        <xdr:cNvSpPr txBox="1"/>
      </xdr:nvSpPr>
      <xdr:spPr>
        <a:xfrm>
          <a:off x="9277351" y="1885950"/>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B6DC8C-B7DB-457A-BD94-B1AB17849D99}" type="TxLink">
            <a:rPr lang="en-US" sz="3200" b="1" i="0" u="none" strike="noStrike">
              <a:solidFill>
                <a:schemeClr val="bg1">
                  <a:lumMod val="95000"/>
                </a:schemeClr>
              </a:solidFill>
              <a:latin typeface="Calibri"/>
              <a:ea typeface="+mn-ea"/>
              <a:cs typeface="Calibri"/>
            </a:rPr>
            <a:pPr marL="0" indent="0"/>
            <a:t>16</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10</xdr:col>
      <xdr:colOff>514351</xdr:colOff>
      <xdr:row>10</xdr:row>
      <xdr:rowOff>28575</xdr:rowOff>
    </xdr:from>
    <xdr:to>
      <xdr:col>11</xdr:col>
      <xdr:colOff>542925</xdr:colOff>
      <xdr:row>12</xdr:row>
      <xdr:rowOff>142875</xdr:rowOff>
    </xdr:to>
    <xdr:sp macro="" textlink="Analysis!K22">
      <xdr:nvSpPr>
        <xdr:cNvPr id="110" name="TextBox 109">
          <a:extLst>
            <a:ext uri="{FF2B5EF4-FFF2-40B4-BE49-F238E27FC236}">
              <a16:creationId xmlns:a16="http://schemas.microsoft.com/office/drawing/2014/main" id="{2895708F-04F3-790C-A096-F49DFE041109}"/>
            </a:ext>
          </a:extLst>
        </xdr:cNvPr>
        <xdr:cNvSpPr txBox="1"/>
      </xdr:nvSpPr>
      <xdr:spPr>
        <a:xfrm>
          <a:off x="10820401" y="1943100"/>
          <a:ext cx="63817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751F35-1C9B-46BD-B0B3-C3D4BB984E91}" type="TxLink">
            <a:rPr lang="en-US" sz="3200" b="1" i="0" u="none" strike="noStrike">
              <a:solidFill>
                <a:schemeClr val="bg1">
                  <a:lumMod val="95000"/>
                </a:schemeClr>
              </a:solidFill>
              <a:latin typeface="Calibri"/>
              <a:ea typeface="+mn-ea"/>
              <a:cs typeface="Calibri"/>
            </a:rPr>
            <a:pPr marL="0" indent="0"/>
            <a:t>14</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3</xdr:col>
      <xdr:colOff>1685926</xdr:colOff>
      <xdr:row>13</xdr:row>
      <xdr:rowOff>76200</xdr:rowOff>
    </xdr:from>
    <xdr:to>
      <xdr:col>4</xdr:col>
      <xdr:colOff>428625</xdr:colOff>
      <xdr:row>16</xdr:row>
      <xdr:rowOff>0</xdr:rowOff>
    </xdr:to>
    <xdr:sp macro="" textlink="Analysis!B29">
      <xdr:nvSpPr>
        <xdr:cNvPr id="111" name="TextBox 110">
          <a:extLst>
            <a:ext uri="{FF2B5EF4-FFF2-40B4-BE49-F238E27FC236}">
              <a16:creationId xmlns:a16="http://schemas.microsoft.com/office/drawing/2014/main" id="{A2EEC924-FB78-8765-142E-8847354C35E8}"/>
            </a:ext>
          </a:extLst>
        </xdr:cNvPr>
        <xdr:cNvSpPr txBox="1"/>
      </xdr:nvSpPr>
      <xdr:spPr>
        <a:xfrm>
          <a:off x="3190876" y="2562225"/>
          <a:ext cx="88582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489779-A6D8-48E3-811C-C79F844B67CA}" type="TxLink">
            <a:rPr lang="en-US" sz="3200" b="1" i="0" u="none" strike="noStrike">
              <a:solidFill>
                <a:schemeClr val="bg1">
                  <a:lumMod val="95000"/>
                </a:schemeClr>
              </a:solidFill>
              <a:latin typeface="Calibri"/>
              <a:ea typeface="+mn-ea"/>
              <a:cs typeface="Calibri"/>
            </a:rPr>
            <a:pPr marL="0" indent="0"/>
            <a:t>9</a:t>
          </a:fld>
          <a:endParaRPr lang="en-US" sz="3200" b="1" i="0" u="none" strike="noStrike">
            <a:solidFill>
              <a:schemeClr val="bg1">
                <a:lumMod val="95000"/>
              </a:schemeClr>
            </a:solidFill>
            <a:latin typeface="Calibri"/>
            <a:ea typeface="+mn-ea"/>
            <a:cs typeface="Calibri"/>
          </a:endParaRPr>
        </a:p>
      </xdr:txBody>
    </xdr:sp>
    <xdr:clientData/>
  </xdr:twoCellAnchor>
  <xdr:twoCellAnchor editAs="absolute">
    <xdr:from>
      <xdr:col>5</xdr:col>
      <xdr:colOff>571500</xdr:colOff>
      <xdr:row>14</xdr:row>
      <xdr:rowOff>123825</xdr:rowOff>
    </xdr:from>
    <xdr:to>
      <xdr:col>5</xdr:col>
      <xdr:colOff>1419225</xdr:colOff>
      <xdr:row>14</xdr:row>
      <xdr:rowOff>180975</xdr:rowOff>
    </xdr:to>
    <xdr:grpSp>
      <xdr:nvGrpSpPr>
        <xdr:cNvPr id="120" name="Group 119">
          <a:extLst>
            <a:ext uri="{FF2B5EF4-FFF2-40B4-BE49-F238E27FC236}">
              <a16:creationId xmlns:a16="http://schemas.microsoft.com/office/drawing/2014/main" id="{0A6D5475-0429-83A3-D2F7-FD5C46D68BFA}"/>
            </a:ext>
          </a:extLst>
        </xdr:cNvPr>
        <xdr:cNvGrpSpPr/>
      </xdr:nvGrpSpPr>
      <xdr:grpSpPr>
        <a:xfrm>
          <a:off x="5041900" y="2778125"/>
          <a:ext cx="847725" cy="57150"/>
          <a:chOff x="4829175" y="2800350"/>
          <a:chExt cx="847725" cy="57150"/>
        </a:xfrm>
      </xdr:grpSpPr>
      <xdr:cxnSp macro="">
        <xdr:nvCxnSpPr>
          <xdr:cNvPr id="113" name="Straight Connector 112">
            <a:extLst>
              <a:ext uri="{FF2B5EF4-FFF2-40B4-BE49-F238E27FC236}">
                <a16:creationId xmlns:a16="http://schemas.microsoft.com/office/drawing/2014/main" id="{E5D339F3-DCA5-F0A2-4971-280733D12DF1}"/>
              </a:ext>
            </a:extLst>
          </xdr:cNvPr>
          <xdr:cNvCxnSpPr/>
        </xdr:nvCxnSpPr>
        <xdr:spPr>
          <a:xfrm>
            <a:off x="4829175" y="2828925"/>
            <a:ext cx="200025" cy="0"/>
          </a:xfrm>
          <a:prstGeom prst="line">
            <a:avLst/>
          </a:prstGeom>
          <a:ln w="25400" cmpd="sng">
            <a:solidFill>
              <a:schemeClr val="tx1">
                <a:lumMod val="65000"/>
                <a:lumOff val="35000"/>
              </a:schemeClr>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14" name="Straight Connector 113">
            <a:extLst>
              <a:ext uri="{FF2B5EF4-FFF2-40B4-BE49-F238E27FC236}">
                <a16:creationId xmlns:a16="http://schemas.microsoft.com/office/drawing/2014/main" id="{9093CC12-4BD2-D5BF-084C-F7043F2ED2B0}"/>
              </a:ext>
            </a:extLst>
          </xdr:cNvPr>
          <xdr:cNvCxnSpPr/>
        </xdr:nvCxnSpPr>
        <xdr:spPr>
          <a:xfrm>
            <a:off x="4943475" y="2828925"/>
            <a:ext cx="733425" cy="0"/>
          </a:xfrm>
          <a:prstGeom prst="line">
            <a:avLst/>
          </a:prstGeom>
          <a:ln w="11430" cmpd="sng">
            <a:solidFill>
              <a:schemeClr val="tx1">
                <a:lumMod val="65000"/>
                <a:lumOff val="35000"/>
              </a:schemeClr>
            </a:solidFill>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15" name="Oval 114">
            <a:extLst>
              <a:ext uri="{FF2B5EF4-FFF2-40B4-BE49-F238E27FC236}">
                <a16:creationId xmlns:a16="http://schemas.microsoft.com/office/drawing/2014/main" id="{A0C45953-8370-E5ED-5AD9-91E939E3A373}"/>
              </a:ext>
            </a:extLst>
          </xdr:cNvPr>
          <xdr:cNvSpPr/>
        </xdr:nvSpPr>
        <xdr:spPr>
          <a:xfrm>
            <a:off x="5029200" y="2800350"/>
            <a:ext cx="57150" cy="57150"/>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5</xdr:col>
      <xdr:colOff>3076575</xdr:colOff>
      <xdr:row>14</xdr:row>
      <xdr:rowOff>123825</xdr:rowOff>
    </xdr:from>
    <xdr:to>
      <xdr:col>7</xdr:col>
      <xdr:colOff>0</xdr:colOff>
      <xdr:row>14</xdr:row>
      <xdr:rowOff>180975</xdr:rowOff>
    </xdr:to>
    <xdr:grpSp>
      <xdr:nvGrpSpPr>
        <xdr:cNvPr id="121" name="Group 120">
          <a:extLst>
            <a:ext uri="{FF2B5EF4-FFF2-40B4-BE49-F238E27FC236}">
              <a16:creationId xmlns:a16="http://schemas.microsoft.com/office/drawing/2014/main" id="{0508ED35-20A0-33DD-1755-41B77F39146D}"/>
            </a:ext>
          </a:extLst>
        </xdr:cNvPr>
        <xdr:cNvGrpSpPr/>
      </xdr:nvGrpSpPr>
      <xdr:grpSpPr>
        <a:xfrm>
          <a:off x="7546975" y="2778125"/>
          <a:ext cx="1349375" cy="57150"/>
          <a:chOff x="4829175" y="2800350"/>
          <a:chExt cx="1143000" cy="57150"/>
        </a:xfrm>
      </xdr:grpSpPr>
      <xdr:cxnSp macro="">
        <xdr:nvCxnSpPr>
          <xdr:cNvPr id="122" name="Straight Connector 121">
            <a:extLst>
              <a:ext uri="{FF2B5EF4-FFF2-40B4-BE49-F238E27FC236}">
                <a16:creationId xmlns:a16="http://schemas.microsoft.com/office/drawing/2014/main" id="{DACF6057-E405-70C3-1FB4-0992E1435B81}"/>
              </a:ext>
            </a:extLst>
          </xdr:cNvPr>
          <xdr:cNvCxnSpPr/>
        </xdr:nvCxnSpPr>
        <xdr:spPr>
          <a:xfrm>
            <a:off x="4829175" y="2828925"/>
            <a:ext cx="733425" cy="0"/>
          </a:xfrm>
          <a:prstGeom prst="line">
            <a:avLst/>
          </a:prstGeom>
          <a:ln w="25400" cmpd="sng">
            <a:solidFill>
              <a:schemeClr val="tx1">
                <a:lumMod val="65000"/>
                <a:lumOff val="35000"/>
              </a:schemeClr>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23" name="Straight Connector 122">
            <a:extLst>
              <a:ext uri="{FF2B5EF4-FFF2-40B4-BE49-F238E27FC236}">
                <a16:creationId xmlns:a16="http://schemas.microsoft.com/office/drawing/2014/main" id="{5105A575-BCED-CE1C-5A82-CBFAF924C0AC}"/>
              </a:ext>
            </a:extLst>
          </xdr:cNvPr>
          <xdr:cNvCxnSpPr/>
        </xdr:nvCxnSpPr>
        <xdr:spPr>
          <a:xfrm>
            <a:off x="5238750" y="2828925"/>
            <a:ext cx="733425" cy="0"/>
          </a:xfrm>
          <a:prstGeom prst="line">
            <a:avLst/>
          </a:prstGeom>
          <a:ln w="11430" cmpd="sng">
            <a:solidFill>
              <a:schemeClr val="tx1">
                <a:lumMod val="65000"/>
                <a:lumOff val="35000"/>
              </a:schemeClr>
            </a:solidFill>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24" name="Oval 123">
            <a:extLst>
              <a:ext uri="{FF2B5EF4-FFF2-40B4-BE49-F238E27FC236}">
                <a16:creationId xmlns:a16="http://schemas.microsoft.com/office/drawing/2014/main" id="{766C8610-9E8C-78CC-1405-88520BE576B8}"/>
              </a:ext>
            </a:extLst>
          </xdr:cNvPr>
          <xdr:cNvSpPr/>
        </xdr:nvSpPr>
        <xdr:spPr>
          <a:xfrm>
            <a:off x="5495925" y="2800350"/>
            <a:ext cx="57150" cy="57150"/>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5</xdr:col>
      <xdr:colOff>1190625</xdr:colOff>
      <xdr:row>14</xdr:row>
      <xdr:rowOff>85725</xdr:rowOff>
    </xdr:from>
    <xdr:to>
      <xdr:col>5</xdr:col>
      <xdr:colOff>2219325</xdr:colOff>
      <xdr:row>15</xdr:row>
      <xdr:rowOff>180975</xdr:rowOff>
    </xdr:to>
    <xdr:sp macro="" textlink="">
      <xdr:nvSpPr>
        <xdr:cNvPr id="127" name="TextBox 126">
          <a:extLst>
            <a:ext uri="{FF2B5EF4-FFF2-40B4-BE49-F238E27FC236}">
              <a16:creationId xmlns:a16="http://schemas.microsoft.com/office/drawing/2014/main" id="{CF50EBDE-7437-0FB2-88FE-F45C42A00C6F}"/>
            </a:ext>
          </a:extLst>
        </xdr:cNvPr>
        <xdr:cNvSpPr txBox="1"/>
      </xdr:nvSpPr>
      <xdr:spPr>
        <a:xfrm>
          <a:off x="5448300" y="2762250"/>
          <a:ext cx="1028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Manager</a:t>
          </a:r>
          <a:endParaRPr lang="en-US" sz="1200" b="1" i="1">
            <a:solidFill>
              <a:schemeClr val="accent6">
                <a:lumMod val="60000"/>
                <a:lumOff val="40000"/>
              </a:schemeClr>
            </a:solidFill>
          </a:endParaRPr>
        </a:p>
      </xdr:txBody>
    </xdr:sp>
    <xdr:clientData/>
  </xdr:twoCellAnchor>
  <xdr:twoCellAnchor editAs="absolute">
    <xdr:from>
      <xdr:col>5</xdr:col>
      <xdr:colOff>3495675</xdr:colOff>
      <xdr:row>14</xdr:row>
      <xdr:rowOff>104775</xdr:rowOff>
    </xdr:from>
    <xdr:to>
      <xdr:col>7</xdr:col>
      <xdr:colOff>476250</xdr:colOff>
      <xdr:row>16</xdr:row>
      <xdr:rowOff>9525</xdr:rowOff>
    </xdr:to>
    <xdr:sp macro="" textlink="">
      <xdr:nvSpPr>
        <xdr:cNvPr id="128" name="TextBox 127">
          <a:extLst>
            <a:ext uri="{FF2B5EF4-FFF2-40B4-BE49-F238E27FC236}">
              <a16:creationId xmlns:a16="http://schemas.microsoft.com/office/drawing/2014/main" id="{01E05026-DBB4-3926-FB49-A2F49F80B92E}"/>
            </a:ext>
          </a:extLst>
        </xdr:cNvPr>
        <xdr:cNvSpPr txBox="1"/>
      </xdr:nvSpPr>
      <xdr:spPr>
        <a:xfrm>
          <a:off x="7753350" y="2781300"/>
          <a:ext cx="1200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Non-manager</a:t>
          </a:r>
          <a:endParaRPr lang="en-US" sz="1200" b="1" i="1">
            <a:solidFill>
              <a:schemeClr val="accent6">
                <a:lumMod val="60000"/>
                <a:lumOff val="40000"/>
              </a:schemeClr>
            </a:solidFill>
          </a:endParaRPr>
        </a:p>
      </xdr:txBody>
    </xdr:sp>
    <xdr:clientData/>
  </xdr:twoCellAnchor>
  <xdr:twoCellAnchor editAs="absolute">
    <xdr:from>
      <xdr:col>5</xdr:col>
      <xdr:colOff>819150</xdr:colOff>
      <xdr:row>13</xdr:row>
      <xdr:rowOff>123825</xdr:rowOff>
    </xdr:from>
    <xdr:to>
      <xdr:col>5</xdr:col>
      <xdr:colOff>1200149</xdr:colOff>
      <xdr:row>15</xdr:row>
      <xdr:rowOff>9525</xdr:rowOff>
    </xdr:to>
    <xdr:sp macro="" textlink="Analysis!I25">
      <xdr:nvSpPr>
        <xdr:cNvPr id="129" name="TextBox 128">
          <a:extLst>
            <a:ext uri="{FF2B5EF4-FFF2-40B4-BE49-F238E27FC236}">
              <a16:creationId xmlns:a16="http://schemas.microsoft.com/office/drawing/2014/main" id="{FA2AA7C2-C1E9-5AFC-3ED3-8331F1E6231F}"/>
            </a:ext>
          </a:extLst>
        </xdr:cNvPr>
        <xdr:cNvSpPr txBox="1"/>
      </xdr:nvSpPr>
      <xdr:spPr>
        <a:xfrm>
          <a:off x="5076825" y="2609850"/>
          <a:ext cx="3809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D74608-9CA1-4B96-8FAD-DF93C01DDD19}" type="TxLink">
            <a:rPr lang="en-US" sz="1200" b="1" i="0" u="none" strike="noStrike">
              <a:solidFill>
                <a:schemeClr val="bg1">
                  <a:lumMod val="95000"/>
                </a:schemeClr>
              </a:solidFill>
              <a:latin typeface="Calibri"/>
              <a:ea typeface="+mn-ea"/>
              <a:cs typeface="Calibri"/>
            </a:rPr>
            <a:pPr marL="0" indent="0"/>
            <a:t>29</a:t>
          </a:fld>
          <a:endParaRPr lang="en-US" sz="1200" b="1" i="0" u="none" strike="noStrike">
            <a:solidFill>
              <a:schemeClr val="bg1">
                <a:lumMod val="95000"/>
              </a:schemeClr>
            </a:solidFill>
            <a:latin typeface="Calibri"/>
            <a:ea typeface="+mn-ea"/>
            <a:cs typeface="Calibri"/>
          </a:endParaRPr>
        </a:p>
      </xdr:txBody>
    </xdr:sp>
    <xdr:clientData/>
  </xdr:twoCellAnchor>
  <xdr:twoCellAnchor editAs="absolute">
    <xdr:from>
      <xdr:col>6</xdr:col>
      <xdr:colOff>152400</xdr:colOff>
      <xdr:row>13</xdr:row>
      <xdr:rowOff>114300</xdr:rowOff>
    </xdr:from>
    <xdr:to>
      <xdr:col>6</xdr:col>
      <xdr:colOff>590549</xdr:colOff>
      <xdr:row>15</xdr:row>
      <xdr:rowOff>0</xdr:rowOff>
    </xdr:to>
    <xdr:sp macro="" textlink="Analysis!I26">
      <xdr:nvSpPr>
        <xdr:cNvPr id="130" name="TextBox 129">
          <a:extLst>
            <a:ext uri="{FF2B5EF4-FFF2-40B4-BE49-F238E27FC236}">
              <a16:creationId xmlns:a16="http://schemas.microsoft.com/office/drawing/2014/main" id="{9930A4DA-6C7C-676B-E041-8F2AE8C317C2}"/>
            </a:ext>
          </a:extLst>
        </xdr:cNvPr>
        <xdr:cNvSpPr txBox="1"/>
      </xdr:nvSpPr>
      <xdr:spPr>
        <a:xfrm>
          <a:off x="8020050" y="2600325"/>
          <a:ext cx="4381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A4D4B9-76F2-4230-B6C3-702CB2B424F3}" type="TxLink">
            <a:rPr lang="en-US" sz="1200" b="1" i="0" u="none" strike="noStrike">
              <a:solidFill>
                <a:schemeClr val="bg1">
                  <a:lumMod val="95000"/>
                </a:schemeClr>
              </a:solidFill>
              <a:latin typeface="Calibri"/>
              <a:ea typeface="+mn-ea"/>
              <a:cs typeface="Calibri"/>
            </a:rPr>
            <a:pPr marL="0" indent="0"/>
            <a:t>122</a:t>
          </a:fld>
          <a:endParaRPr lang="en-US" sz="1200" b="1" i="0" u="none" strike="noStrike">
            <a:solidFill>
              <a:schemeClr val="bg1">
                <a:lumMod val="95000"/>
              </a:schemeClr>
            </a:solidFill>
            <a:latin typeface="Calibri"/>
            <a:ea typeface="+mn-ea"/>
            <a:cs typeface="Calibri"/>
          </a:endParaRPr>
        </a:p>
      </xdr:txBody>
    </xdr:sp>
    <xdr:clientData/>
  </xdr:twoCellAnchor>
  <xdr:twoCellAnchor editAs="absolute">
    <xdr:from>
      <xdr:col>8</xdr:col>
      <xdr:colOff>257175</xdr:colOff>
      <xdr:row>13</xdr:row>
      <xdr:rowOff>38104</xdr:rowOff>
    </xdr:from>
    <xdr:to>
      <xdr:col>12</xdr:col>
      <xdr:colOff>28570</xdr:colOff>
      <xdr:row>15</xdr:row>
      <xdr:rowOff>142875</xdr:rowOff>
    </xdr:to>
    <xdr:graphicFrame macro="">
      <xdr:nvGraphicFramePr>
        <xdr:cNvPr id="131" name="Chart 130">
          <a:extLst>
            <a:ext uri="{FF2B5EF4-FFF2-40B4-BE49-F238E27FC236}">
              <a16:creationId xmlns:a16="http://schemas.microsoft.com/office/drawing/2014/main" id="{3652373C-FEE3-4B75-BD7D-E66041F71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xdr:col>
      <xdr:colOff>581025</xdr:colOff>
      <xdr:row>17</xdr:row>
      <xdr:rowOff>73028</xdr:rowOff>
    </xdr:from>
    <xdr:to>
      <xdr:col>4</xdr:col>
      <xdr:colOff>581024</xdr:colOff>
      <xdr:row>28</xdr:row>
      <xdr:rowOff>120650</xdr:rowOff>
    </xdr:to>
    <mc:AlternateContent xmlns:mc="http://schemas.openxmlformats.org/markup-compatibility/2006">
      <mc:Choice xmlns:cx1="http://schemas.microsoft.com/office/drawing/2015/9/8/chartex" Requires="cx1">
        <xdr:graphicFrame macro="">
          <xdr:nvGraphicFramePr>
            <xdr:cNvPr id="132" name="Chart 131">
              <a:extLst>
                <a:ext uri="{FF2B5EF4-FFF2-40B4-BE49-F238E27FC236}">
                  <a16:creationId xmlns:a16="http://schemas.microsoft.com/office/drawing/2014/main" id="{F285A16A-7610-4D16-ADEE-81C276A10B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162175" y="3279778"/>
              <a:ext cx="2247899" cy="20732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8</xdr:col>
      <xdr:colOff>114300</xdr:colOff>
      <xdr:row>24</xdr:row>
      <xdr:rowOff>25400</xdr:rowOff>
    </xdr:from>
    <xdr:to>
      <xdr:col>11</xdr:col>
      <xdr:colOff>561975</xdr:colOff>
      <xdr:row>24</xdr:row>
      <xdr:rowOff>25400</xdr:rowOff>
    </xdr:to>
    <xdr:cxnSp macro="">
      <xdr:nvCxnSpPr>
        <xdr:cNvPr id="136" name="Straight Connector 135">
          <a:extLst>
            <a:ext uri="{FF2B5EF4-FFF2-40B4-BE49-F238E27FC236}">
              <a16:creationId xmlns:a16="http://schemas.microsoft.com/office/drawing/2014/main" id="{8F96A4A4-A294-F641-4EC9-BB0C1BD1F3F8}"/>
            </a:ext>
          </a:extLst>
        </xdr:cNvPr>
        <xdr:cNvCxnSpPr/>
      </xdr:nvCxnSpPr>
      <xdr:spPr>
        <a:xfrm>
          <a:off x="9201150" y="4610100"/>
          <a:ext cx="2276475" cy="0"/>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66674</xdr:colOff>
      <xdr:row>23</xdr:row>
      <xdr:rowOff>177800</xdr:rowOff>
    </xdr:from>
    <xdr:to>
      <xdr:col>9</xdr:col>
      <xdr:colOff>533399</xdr:colOff>
      <xdr:row>25</xdr:row>
      <xdr:rowOff>82550</xdr:rowOff>
    </xdr:to>
    <xdr:sp macro="" textlink="">
      <xdr:nvSpPr>
        <xdr:cNvPr id="137" name="TextBox 136">
          <a:extLst>
            <a:ext uri="{FF2B5EF4-FFF2-40B4-BE49-F238E27FC236}">
              <a16:creationId xmlns:a16="http://schemas.microsoft.com/office/drawing/2014/main" id="{6FDDE152-ACD7-0B81-6ACE-40E824CD39D1}"/>
            </a:ext>
          </a:extLst>
        </xdr:cNvPr>
        <xdr:cNvSpPr txBox="1"/>
      </xdr:nvSpPr>
      <xdr:spPr>
        <a:xfrm>
          <a:off x="9153524" y="4572000"/>
          <a:ext cx="1076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accent6">
                  <a:lumMod val="60000"/>
                  <a:lumOff val="40000"/>
                </a:schemeClr>
              </a:solidFill>
            </a:rPr>
            <a:t>Comments</a:t>
          </a:r>
          <a:endParaRPr lang="en-US" sz="1200" b="1" i="1">
            <a:solidFill>
              <a:schemeClr val="accent6">
                <a:lumMod val="60000"/>
                <a:lumOff val="40000"/>
              </a:schemeClr>
            </a:solidFill>
          </a:endParaRPr>
        </a:p>
      </xdr:txBody>
    </xdr:sp>
    <xdr:clientData/>
  </xdr:twoCellAnchor>
  <xdr:twoCellAnchor editAs="absolute">
    <xdr:from>
      <xdr:col>3</xdr:col>
      <xdr:colOff>695326</xdr:colOff>
      <xdr:row>17</xdr:row>
      <xdr:rowOff>63503</xdr:rowOff>
    </xdr:from>
    <xdr:to>
      <xdr:col>4</xdr:col>
      <xdr:colOff>495301</xdr:colOff>
      <xdr:row>28</xdr:row>
      <xdr:rowOff>82550</xdr:rowOff>
    </xdr:to>
    <mc:AlternateContent xmlns:mc="http://schemas.openxmlformats.org/markup-compatibility/2006">
      <mc:Choice xmlns:cx2="http://schemas.microsoft.com/office/drawing/2015/10/21/chartex" Requires="cx2">
        <xdr:graphicFrame macro="">
          <xdr:nvGraphicFramePr>
            <xdr:cNvPr id="138" name="Chart 137">
              <a:extLst>
                <a:ext uri="{FF2B5EF4-FFF2-40B4-BE49-F238E27FC236}">
                  <a16:creationId xmlns:a16="http://schemas.microsoft.com/office/drawing/2014/main" id="{00E65A34-4E3B-410F-A6A1-28AAD3E192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276476" y="3270253"/>
              <a:ext cx="2047875" cy="20446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123825</xdr:colOff>
      <xdr:row>17</xdr:row>
      <xdr:rowOff>73025</xdr:rowOff>
    </xdr:from>
    <xdr:to>
      <xdr:col>5</xdr:col>
      <xdr:colOff>2495551</xdr:colOff>
      <xdr:row>28</xdr:row>
      <xdr:rowOff>82550</xdr:rowOff>
    </xdr:to>
    <xdr:graphicFrame macro="">
      <xdr:nvGraphicFramePr>
        <xdr:cNvPr id="139" name="Chart 138">
          <a:extLst>
            <a:ext uri="{FF2B5EF4-FFF2-40B4-BE49-F238E27FC236}">
              <a16:creationId xmlns:a16="http://schemas.microsoft.com/office/drawing/2014/main" id="{0A12597F-D1A2-49D2-8AEB-41CF3E5F5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2524125</xdr:colOff>
      <xdr:row>16</xdr:row>
      <xdr:rowOff>142875</xdr:rowOff>
    </xdr:from>
    <xdr:to>
      <xdr:col>8</xdr:col>
      <xdr:colOff>421007</xdr:colOff>
      <xdr:row>28</xdr:row>
      <xdr:rowOff>158750</xdr:rowOff>
    </xdr:to>
    <xdr:graphicFrame macro="">
      <xdr:nvGraphicFramePr>
        <xdr:cNvPr id="140" name="Chart 139">
          <a:extLst>
            <a:ext uri="{FF2B5EF4-FFF2-40B4-BE49-F238E27FC236}">
              <a16:creationId xmlns:a16="http://schemas.microsoft.com/office/drawing/2014/main" id="{1CC52C49-8CA3-4B59-9E09-2784E06A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8</xdr:col>
      <xdr:colOff>243483</xdr:colOff>
      <xdr:row>14</xdr:row>
      <xdr:rowOff>85725</xdr:rowOff>
    </xdr:from>
    <xdr:to>
      <xdr:col>11</xdr:col>
      <xdr:colOff>595311</xdr:colOff>
      <xdr:row>27</xdr:row>
      <xdr:rowOff>15875</xdr:rowOff>
    </xdr:to>
    <xdr:grpSp>
      <xdr:nvGrpSpPr>
        <xdr:cNvPr id="155" name="Group 154">
          <a:extLst>
            <a:ext uri="{FF2B5EF4-FFF2-40B4-BE49-F238E27FC236}">
              <a16:creationId xmlns:a16="http://schemas.microsoft.com/office/drawing/2014/main" id="{F191B5E3-BBB1-BBEF-2F01-A5CA14D8CDA9}"/>
            </a:ext>
          </a:extLst>
        </xdr:cNvPr>
        <xdr:cNvGrpSpPr/>
      </xdr:nvGrpSpPr>
      <xdr:grpSpPr>
        <a:xfrm>
          <a:off x="9781183" y="2740025"/>
          <a:ext cx="2275878" cy="2324100"/>
          <a:chOff x="9625608" y="2724150"/>
          <a:chExt cx="2180628" cy="2409825"/>
        </a:xfrm>
      </xdr:grpSpPr>
      <xdr:graphicFrame macro="">
        <xdr:nvGraphicFramePr>
          <xdr:cNvPr id="141" name="Chart 140">
            <a:extLst>
              <a:ext uri="{FF2B5EF4-FFF2-40B4-BE49-F238E27FC236}">
                <a16:creationId xmlns:a16="http://schemas.microsoft.com/office/drawing/2014/main" id="{CA5C88FD-7771-4EC4-B1C8-0DFA28B9E003}"/>
              </a:ext>
            </a:extLst>
          </xdr:cNvPr>
          <xdr:cNvGraphicFramePr>
            <a:graphicFrameLocks/>
          </xdr:cNvGraphicFramePr>
        </xdr:nvGraphicFramePr>
        <xdr:xfrm>
          <a:off x="9625608" y="2724150"/>
          <a:ext cx="2180628" cy="240982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42" name="Oval 141">
            <a:extLst>
              <a:ext uri="{FF2B5EF4-FFF2-40B4-BE49-F238E27FC236}">
                <a16:creationId xmlns:a16="http://schemas.microsoft.com/office/drawing/2014/main" id="{430B0486-C694-8832-72C6-420EEADC785C}"/>
              </a:ext>
            </a:extLst>
          </xdr:cNvPr>
          <xdr:cNvSpPr/>
        </xdr:nvSpPr>
        <xdr:spPr>
          <a:xfrm>
            <a:off x="9696451" y="3286125"/>
            <a:ext cx="1304924" cy="1276350"/>
          </a:xfrm>
          <a:prstGeom prst="ellips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 name="Oval 142">
            <a:extLst>
              <a:ext uri="{FF2B5EF4-FFF2-40B4-BE49-F238E27FC236}">
                <a16:creationId xmlns:a16="http://schemas.microsoft.com/office/drawing/2014/main" id="{D61C1E40-119A-DFE7-3DE3-9080C376AC65}"/>
              </a:ext>
            </a:extLst>
          </xdr:cNvPr>
          <xdr:cNvSpPr/>
        </xdr:nvSpPr>
        <xdr:spPr>
          <a:xfrm>
            <a:off x="9886950" y="3467100"/>
            <a:ext cx="933450" cy="913010"/>
          </a:xfrm>
          <a:prstGeom prst="ellips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45" name="Straight Connector 144">
            <a:extLst>
              <a:ext uri="{FF2B5EF4-FFF2-40B4-BE49-F238E27FC236}">
                <a16:creationId xmlns:a16="http://schemas.microsoft.com/office/drawing/2014/main" id="{BCBD3171-80A4-5421-3D32-D9BB8BAA6DBC}"/>
              </a:ext>
            </a:extLst>
          </xdr:cNvPr>
          <xdr:cNvCxnSpPr>
            <a:stCxn id="143" idx="0"/>
          </xdr:cNvCxnSpPr>
        </xdr:nvCxnSpPr>
        <xdr:spPr>
          <a:xfrm>
            <a:off x="10353675" y="3467100"/>
            <a:ext cx="0" cy="923925"/>
          </a:xfrm>
          <a:prstGeom prst="lin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cxnSp>
      <xdr:cxnSp macro="">
        <xdr:nvCxnSpPr>
          <xdr:cNvPr id="148" name="Straight Connector 147">
            <a:extLst>
              <a:ext uri="{FF2B5EF4-FFF2-40B4-BE49-F238E27FC236}">
                <a16:creationId xmlns:a16="http://schemas.microsoft.com/office/drawing/2014/main" id="{C09344A9-470E-B422-6A4A-F7CEE90CBE81}"/>
              </a:ext>
            </a:extLst>
          </xdr:cNvPr>
          <xdr:cNvCxnSpPr>
            <a:stCxn id="143" idx="2"/>
          </xdr:cNvCxnSpPr>
        </xdr:nvCxnSpPr>
        <xdr:spPr>
          <a:xfrm flipV="1">
            <a:off x="9886950" y="3914775"/>
            <a:ext cx="952500" cy="8830"/>
          </a:xfrm>
          <a:prstGeom prst="lin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cxnSp>
      <xdr:cxnSp macro="">
        <xdr:nvCxnSpPr>
          <xdr:cNvPr id="150" name="Straight Connector 149">
            <a:extLst>
              <a:ext uri="{FF2B5EF4-FFF2-40B4-BE49-F238E27FC236}">
                <a16:creationId xmlns:a16="http://schemas.microsoft.com/office/drawing/2014/main" id="{29F21A19-AB01-710F-7B78-395BC0DEA67C}"/>
              </a:ext>
            </a:extLst>
          </xdr:cNvPr>
          <xdr:cNvCxnSpPr>
            <a:stCxn id="143" idx="1"/>
            <a:endCxn id="143" idx="5"/>
          </xdr:cNvCxnSpPr>
        </xdr:nvCxnSpPr>
        <xdr:spPr>
          <a:xfrm>
            <a:off x="10023651" y="3600807"/>
            <a:ext cx="660048" cy="645596"/>
          </a:xfrm>
          <a:prstGeom prst="lin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cxnSp>
      <xdr:cxnSp macro="">
        <xdr:nvCxnSpPr>
          <xdr:cNvPr id="152" name="Straight Connector 151">
            <a:extLst>
              <a:ext uri="{FF2B5EF4-FFF2-40B4-BE49-F238E27FC236}">
                <a16:creationId xmlns:a16="http://schemas.microsoft.com/office/drawing/2014/main" id="{5C36D57F-7A7E-278E-CAF3-58A39A7582A3}"/>
              </a:ext>
            </a:extLst>
          </xdr:cNvPr>
          <xdr:cNvCxnSpPr>
            <a:stCxn id="143" idx="7"/>
            <a:endCxn id="143" idx="3"/>
          </xdr:cNvCxnSpPr>
        </xdr:nvCxnSpPr>
        <xdr:spPr>
          <a:xfrm flipH="1">
            <a:off x="10023651" y="3600807"/>
            <a:ext cx="660048" cy="645596"/>
          </a:xfrm>
          <a:prstGeom prst="line">
            <a:avLst/>
          </a:prstGeom>
          <a:noFill/>
          <a:ln w="3175">
            <a:solidFill>
              <a:schemeClr val="tx1">
                <a:lumMod val="65000"/>
                <a:lumOff val="35000"/>
              </a:schemeClr>
            </a:solidFill>
            <a:prstDash val="sysDot"/>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xdr:from>
      <xdr:col>4</xdr:col>
      <xdr:colOff>590550</xdr:colOff>
      <xdr:row>1</xdr:row>
      <xdr:rowOff>161925</xdr:rowOff>
    </xdr:from>
    <xdr:to>
      <xdr:col>6</xdr:col>
      <xdr:colOff>19050</xdr:colOff>
      <xdr:row>3</xdr:row>
      <xdr:rowOff>9525</xdr:rowOff>
    </xdr:to>
    <xdr:sp macro="" textlink="">
      <xdr:nvSpPr>
        <xdr:cNvPr id="156" name="Rectangle: Rounded Corners 155">
          <a:extLst>
            <a:ext uri="{FF2B5EF4-FFF2-40B4-BE49-F238E27FC236}">
              <a16:creationId xmlns:a16="http://schemas.microsoft.com/office/drawing/2014/main" id="{D05C88B1-D094-C530-EB41-0361718779F6}"/>
            </a:ext>
          </a:extLst>
        </xdr:cNvPr>
        <xdr:cNvSpPr/>
      </xdr:nvSpPr>
      <xdr:spPr>
        <a:xfrm>
          <a:off x="4238625" y="361950"/>
          <a:ext cx="3648075" cy="295275"/>
        </a:xfrm>
        <a:prstGeom prst="roundRect">
          <a:avLst>
            <a:gd name="adj" fmla="val 33871"/>
          </a:avLst>
        </a:prstGeom>
        <a:noFill/>
        <a:ln w="571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3381375</xdr:colOff>
      <xdr:row>2</xdr:row>
      <xdr:rowOff>19051</xdr:rowOff>
    </xdr:from>
    <xdr:ext cx="161925" cy="190500"/>
    <xdr:grpSp>
      <xdr:nvGrpSpPr>
        <xdr:cNvPr id="160" name="Shape 2" title="Drawing">
          <a:extLst>
            <a:ext uri="{FF2B5EF4-FFF2-40B4-BE49-F238E27FC236}">
              <a16:creationId xmlns:a16="http://schemas.microsoft.com/office/drawing/2014/main" id="{135F1985-EBEB-4AB7-8CE4-5C9BF62B5F1C}"/>
            </a:ext>
          </a:extLst>
        </xdr:cNvPr>
        <xdr:cNvGrpSpPr/>
      </xdr:nvGrpSpPr>
      <xdr:grpSpPr>
        <a:xfrm>
          <a:off x="7851775" y="393701"/>
          <a:ext cx="161925" cy="190500"/>
          <a:chOff x="5279325" y="3722850"/>
          <a:chExt cx="133349" cy="114300"/>
        </a:xfrm>
      </xdr:grpSpPr>
      <xdr:grpSp>
        <xdr:nvGrpSpPr>
          <xdr:cNvPr id="161" name="Shape 148">
            <a:extLst>
              <a:ext uri="{FF2B5EF4-FFF2-40B4-BE49-F238E27FC236}">
                <a16:creationId xmlns:a16="http://schemas.microsoft.com/office/drawing/2014/main" id="{F1E6AB25-39BC-753B-E566-C42E576D334D}"/>
              </a:ext>
            </a:extLst>
          </xdr:cNvPr>
          <xdr:cNvGrpSpPr/>
        </xdr:nvGrpSpPr>
        <xdr:grpSpPr>
          <a:xfrm>
            <a:off x="5279325" y="3722850"/>
            <a:ext cx="133349" cy="114300"/>
            <a:chOff x="7314638" y="570377"/>
            <a:chExt cx="137793" cy="122041"/>
          </a:xfrm>
        </xdr:grpSpPr>
        <xdr:sp macro="" textlink="">
          <xdr:nvSpPr>
            <xdr:cNvPr id="162" name="Shape 39">
              <a:extLst>
                <a:ext uri="{FF2B5EF4-FFF2-40B4-BE49-F238E27FC236}">
                  <a16:creationId xmlns:a16="http://schemas.microsoft.com/office/drawing/2014/main" id="{C8270EA6-5B70-66F7-D31C-DB4E40CE4538}"/>
                </a:ext>
              </a:extLst>
            </xdr:cNvPr>
            <xdr:cNvSpPr/>
          </xdr:nvSpPr>
          <xdr:spPr>
            <a:xfrm>
              <a:off x="7314638" y="570377"/>
              <a:ext cx="137775" cy="12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3" name="Shape 149">
              <a:extLst>
                <a:ext uri="{FF2B5EF4-FFF2-40B4-BE49-F238E27FC236}">
                  <a16:creationId xmlns:a16="http://schemas.microsoft.com/office/drawing/2014/main" id="{4597246E-D5FB-6D42-11AA-608B3E956C09}"/>
                </a:ext>
              </a:extLst>
            </xdr:cNvPr>
            <xdr:cNvSpPr/>
          </xdr:nvSpPr>
          <xdr:spPr>
            <a:xfrm>
              <a:off x="7314638" y="570377"/>
              <a:ext cx="94691" cy="94691"/>
            </a:xfrm>
            <a:prstGeom prst="ellipse">
              <a:avLst/>
            </a:prstGeom>
            <a:noFill/>
            <a:ln w="12700" cap="flat" cmpd="sng">
              <a:solidFill>
                <a:schemeClr val="l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xnSp macro="">
          <xdr:nvCxnSpPr>
            <xdr:cNvPr id="164" name="Shape 150">
              <a:extLst>
                <a:ext uri="{FF2B5EF4-FFF2-40B4-BE49-F238E27FC236}">
                  <a16:creationId xmlns:a16="http://schemas.microsoft.com/office/drawing/2014/main" id="{BAB55E15-68E1-738C-C342-60A4E791C91D}"/>
                </a:ext>
              </a:extLst>
            </xdr:cNvPr>
            <xdr:cNvCxnSpPr/>
          </xdr:nvCxnSpPr>
          <xdr:spPr>
            <a:xfrm>
              <a:off x="7404294" y="652025"/>
              <a:ext cx="48138" cy="40393"/>
            </a:xfrm>
            <a:prstGeom prst="straightConnector1">
              <a:avLst/>
            </a:prstGeom>
            <a:noFill/>
            <a:ln w="15875" cap="flat" cmpd="sng">
              <a:solidFill>
                <a:schemeClr val="lt1"/>
              </a:solidFill>
              <a:prstDash val="solid"/>
              <a:miter lim="800000"/>
              <a:headEnd type="none" w="sm" len="sm"/>
              <a:tailEnd type="none" w="sm" len="sm"/>
            </a:ln>
          </xdr:spPr>
        </xdr:cxnSp>
      </xdr:grpSp>
    </xdr:grpSp>
    <xdr:clientData fLocksWithSheet="0"/>
  </xdr:oneCellAnchor>
  <xdr:twoCellAnchor editAs="absolute">
    <xdr:from>
      <xdr:col>4</xdr:col>
      <xdr:colOff>571500</xdr:colOff>
      <xdr:row>1</xdr:row>
      <xdr:rowOff>161925</xdr:rowOff>
    </xdr:from>
    <xdr:to>
      <xdr:col>5</xdr:col>
      <xdr:colOff>619125</xdr:colOff>
      <xdr:row>3</xdr:row>
      <xdr:rowOff>0</xdr:rowOff>
    </xdr:to>
    <xdr:sp macro="" textlink="">
      <xdr:nvSpPr>
        <xdr:cNvPr id="159" name="TextBox 158">
          <a:extLst>
            <a:ext uri="{FF2B5EF4-FFF2-40B4-BE49-F238E27FC236}">
              <a16:creationId xmlns:a16="http://schemas.microsoft.com/office/drawing/2014/main" id="{3552FDF6-55D1-0BCD-08E1-DB33E2428EB4}"/>
            </a:ext>
          </a:extLst>
        </xdr:cNvPr>
        <xdr:cNvSpPr txBox="1"/>
      </xdr:nvSpPr>
      <xdr:spPr>
        <a:xfrm>
          <a:off x="4219575" y="361950"/>
          <a:ext cx="657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bg1"/>
              </a:solidFill>
              <a:latin typeface="Bahnschrift SemiBold" panose="020B0502040204020203" pitchFamily="34" charset="0"/>
            </a:rPr>
            <a:t>search</a:t>
          </a:r>
          <a:endParaRPr lang="en-US" sz="1200" b="1" i="1">
            <a:solidFill>
              <a:schemeClr val="bg1"/>
            </a:solidFill>
            <a:latin typeface="Bahnschrift SemiBold" panose="020B0502040204020203" pitchFamily="34" charset="0"/>
          </a:endParaRPr>
        </a:p>
      </xdr:txBody>
    </xdr:sp>
    <xdr:clientData/>
  </xdr:twoCellAnchor>
  <xdr:twoCellAnchor>
    <xdr:from>
      <xdr:col>1</xdr:col>
      <xdr:colOff>533401</xdr:colOff>
      <xdr:row>4</xdr:row>
      <xdr:rowOff>104775</xdr:rowOff>
    </xdr:from>
    <xdr:to>
      <xdr:col>2</xdr:col>
      <xdr:colOff>541913</xdr:colOff>
      <xdr:row>7</xdr:row>
      <xdr:rowOff>114300</xdr:rowOff>
    </xdr:to>
    <xdr:sp macro="" textlink="">
      <xdr:nvSpPr>
        <xdr:cNvPr id="165" name="Oval 164">
          <a:extLst>
            <a:ext uri="{FF2B5EF4-FFF2-40B4-BE49-F238E27FC236}">
              <a16:creationId xmlns:a16="http://schemas.microsoft.com/office/drawing/2014/main" id="{544657FA-92F8-4F4B-8584-C8764BD24DB3}"/>
            </a:ext>
          </a:extLst>
        </xdr:cNvPr>
        <xdr:cNvSpPr/>
      </xdr:nvSpPr>
      <xdr:spPr>
        <a:xfrm>
          <a:off x="819151" y="942975"/>
          <a:ext cx="618112" cy="581025"/>
        </a:xfrm>
        <a:prstGeom prst="ellipse">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604838</xdr:colOff>
      <xdr:row>5</xdr:row>
      <xdr:rowOff>76200</xdr:rowOff>
    </xdr:from>
    <xdr:to>
      <xdr:col>3</xdr:col>
      <xdr:colOff>4763</xdr:colOff>
      <xdr:row>6</xdr:row>
      <xdr:rowOff>171450</xdr:rowOff>
    </xdr:to>
    <xdr:sp macro="" textlink="search!O7">
      <xdr:nvSpPr>
        <xdr:cNvPr id="166" name="TextBox 165">
          <a:extLst>
            <a:ext uri="{FF2B5EF4-FFF2-40B4-BE49-F238E27FC236}">
              <a16:creationId xmlns:a16="http://schemas.microsoft.com/office/drawing/2014/main" id="{8260F315-1877-9B4C-7088-55C0978632C7}"/>
            </a:ext>
          </a:extLst>
        </xdr:cNvPr>
        <xdr:cNvSpPr txBox="1"/>
      </xdr:nvSpPr>
      <xdr:spPr>
        <a:xfrm>
          <a:off x="890588" y="1104900"/>
          <a:ext cx="619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72B3AF-5E40-47D9-9F3A-4439CEE4441F}" type="TxLink">
            <a:rPr lang="en-US" sz="1100" b="0" i="0" u="sng" strike="noStrike">
              <a:solidFill>
                <a:schemeClr val="bg1">
                  <a:lumMod val="85000"/>
                </a:schemeClr>
              </a:solidFill>
              <a:latin typeface="Calibri"/>
              <a:cs typeface="Calibri"/>
            </a:rPr>
            <a:pPr/>
            <a:t>Male</a:t>
          </a:fld>
          <a:endParaRPr lang="en-US" sz="1200" b="1" i="1" u="sng">
            <a:solidFill>
              <a:schemeClr val="bg1">
                <a:lumMod val="85000"/>
              </a:schemeClr>
            </a:solidFill>
          </a:endParaRPr>
        </a:p>
      </xdr:txBody>
    </xdr:sp>
    <xdr:clientData/>
  </xdr:twoCellAnchor>
  <xdr:twoCellAnchor editAs="absolute">
    <xdr:from>
      <xdr:col>1</xdr:col>
      <xdr:colOff>14288</xdr:colOff>
      <xdr:row>9</xdr:row>
      <xdr:rowOff>57150</xdr:rowOff>
    </xdr:from>
    <xdr:to>
      <xdr:col>3</xdr:col>
      <xdr:colOff>500063</xdr:colOff>
      <xdr:row>10</xdr:row>
      <xdr:rowOff>152400</xdr:rowOff>
    </xdr:to>
    <xdr:sp macro="" textlink="search!N6">
      <xdr:nvSpPr>
        <xdr:cNvPr id="167" name="TextBox 166">
          <a:extLst>
            <a:ext uri="{FF2B5EF4-FFF2-40B4-BE49-F238E27FC236}">
              <a16:creationId xmlns:a16="http://schemas.microsoft.com/office/drawing/2014/main" id="{611E98A1-BA70-4F7B-6207-CA2528AD4C56}"/>
            </a:ext>
          </a:extLst>
        </xdr:cNvPr>
        <xdr:cNvSpPr txBox="1"/>
      </xdr:nvSpPr>
      <xdr:spPr>
        <a:xfrm>
          <a:off x="300038" y="18478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B053EA-9CD5-43D1-86B7-134CAE99065C}" type="TxLink">
            <a:rPr lang="en-US" sz="1400" b="1" i="0" u="none" strike="noStrike">
              <a:solidFill>
                <a:srgbClr val="000000"/>
              </a:solidFill>
              <a:latin typeface="Calibri"/>
              <a:cs typeface="Calibri"/>
            </a:rPr>
            <a:pPr algn="ctr"/>
            <a:t>Employee_name</a:t>
          </a:fld>
          <a:endParaRPr lang="en-US" sz="1400" b="1" i="1">
            <a:solidFill>
              <a:srgbClr val="17121F"/>
            </a:solidFill>
          </a:endParaRPr>
        </a:p>
      </xdr:txBody>
    </xdr:sp>
    <xdr:clientData/>
  </xdr:twoCellAnchor>
  <xdr:twoCellAnchor editAs="absolute">
    <xdr:from>
      <xdr:col>0</xdr:col>
      <xdr:colOff>242888</xdr:colOff>
      <xdr:row>13</xdr:row>
      <xdr:rowOff>133350</xdr:rowOff>
    </xdr:from>
    <xdr:to>
      <xdr:col>3</xdr:col>
      <xdr:colOff>442913</xdr:colOff>
      <xdr:row>15</xdr:row>
      <xdr:rowOff>38100</xdr:rowOff>
    </xdr:to>
    <xdr:sp macro="" textlink="search!P6">
      <xdr:nvSpPr>
        <xdr:cNvPr id="170" name="TextBox 169">
          <a:extLst>
            <a:ext uri="{FF2B5EF4-FFF2-40B4-BE49-F238E27FC236}">
              <a16:creationId xmlns:a16="http://schemas.microsoft.com/office/drawing/2014/main" id="{775327EF-6090-D4FB-440A-08F8EE1A1F5A}"/>
            </a:ext>
          </a:extLst>
        </xdr:cNvPr>
        <xdr:cNvSpPr txBox="1"/>
      </xdr:nvSpPr>
      <xdr:spPr>
        <a:xfrm>
          <a:off x="242888" y="26860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82D849-38E3-498F-9D33-81BB56A6D3A8}" type="TxLink">
            <a:rPr lang="en-US" sz="1400" b="1" i="0" u="none" strike="noStrike">
              <a:solidFill>
                <a:srgbClr val="000000"/>
              </a:solidFill>
              <a:latin typeface="Calibri"/>
              <a:ea typeface="+mn-ea"/>
              <a:cs typeface="Calibri"/>
            </a:rPr>
            <a:pPr marL="0" indent="0" algn="ctr"/>
            <a:t>Age</a:t>
          </a:fld>
          <a:endParaRPr lang="en-US" sz="1400" b="1" i="0" u="none" strike="noStrike">
            <a:solidFill>
              <a:srgbClr val="000000"/>
            </a:solidFill>
            <a:latin typeface="Calibri"/>
            <a:ea typeface="+mn-ea"/>
            <a:cs typeface="Calibri"/>
          </a:endParaRPr>
        </a:p>
      </xdr:txBody>
    </xdr:sp>
    <xdr:clientData/>
  </xdr:twoCellAnchor>
  <xdr:twoCellAnchor editAs="absolute">
    <xdr:from>
      <xdr:col>0</xdr:col>
      <xdr:colOff>280988</xdr:colOff>
      <xdr:row>16</xdr:row>
      <xdr:rowOff>0</xdr:rowOff>
    </xdr:from>
    <xdr:to>
      <xdr:col>3</xdr:col>
      <xdr:colOff>481013</xdr:colOff>
      <xdr:row>17</xdr:row>
      <xdr:rowOff>92075</xdr:rowOff>
    </xdr:to>
    <xdr:sp macro="" textlink="search!R6">
      <xdr:nvSpPr>
        <xdr:cNvPr id="172" name="TextBox 171">
          <a:extLst>
            <a:ext uri="{FF2B5EF4-FFF2-40B4-BE49-F238E27FC236}">
              <a16:creationId xmlns:a16="http://schemas.microsoft.com/office/drawing/2014/main" id="{15C58445-A8E3-F4DB-2828-B0FBB2982ACE}"/>
            </a:ext>
          </a:extLst>
        </xdr:cNvPr>
        <xdr:cNvSpPr txBox="1"/>
      </xdr:nvSpPr>
      <xdr:spPr>
        <a:xfrm>
          <a:off x="280988" y="31242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EE8412-A210-4A1D-872E-BE95E6CE287B}" type="TxLink">
            <a:rPr lang="en-US" sz="1400" b="1" i="0" u="none" strike="noStrike">
              <a:solidFill>
                <a:srgbClr val="000000"/>
              </a:solidFill>
              <a:latin typeface="Calibri"/>
              <a:cs typeface="Calibri"/>
            </a:rPr>
            <a:pPr algn="ctr"/>
            <a:t>Office Tel</a:t>
          </a:fld>
          <a:endParaRPr lang="en-US" sz="1400" b="1" i="1">
            <a:solidFill>
              <a:srgbClr val="17121F"/>
            </a:solidFill>
          </a:endParaRPr>
        </a:p>
      </xdr:txBody>
    </xdr:sp>
    <xdr:clientData/>
  </xdr:twoCellAnchor>
  <xdr:twoCellAnchor editAs="absolute">
    <xdr:from>
      <xdr:col>0</xdr:col>
      <xdr:colOff>280988</xdr:colOff>
      <xdr:row>18</xdr:row>
      <xdr:rowOff>92075</xdr:rowOff>
    </xdr:from>
    <xdr:to>
      <xdr:col>3</xdr:col>
      <xdr:colOff>481013</xdr:colOff>
      <xdr:row>20</xdr:row>
      <xdr:rowOff>3175</xdr:rowOff>
    </xdr:to>
    <xdr:sp macro="" textlink="search!S6">
      <xdr:nvSpPr>
        <xdr:cNvPr id="173" name="TextBox 172">
          <a:extLst>
            <a:ext uri="{FF2B5EF4-FFF2-40B4-BE49-F238E27FC236}">
              <a16:creationId xmlns:a16="http://schemas.microsoft.com/office/drawing/2014/main" id="{16EF5BB8-C671-EF73-F702-7E45B28B5B02}"/>
            </a:ext>
          </a:extLst>
        </xdr:cNvPr>
        <xdr:cNvSpPr txBox="1"/>
      </xdr:nvSpPr>
      <xdr:spPr>
        <a:xfrm>
          <a:off x="280988" y="36004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E29EB0-CDE2-4826-9918-0A2904D239BF}" type="TxLink">
            <a:rPr lang="en-US" sz="1400" b="1" i="0" u="none" strike="noStrike">
              <a:solidFill>
                <a:srgbClr val="000000"/>
              </a:solidFill>
              <a:latin typeface="Calibri"/>
              <a:ea typeface="+mn-ea"/>
              <a:cs typeface="Calibri"/>
            </a:rPr>
            <a:pPr marL="0" indent="0" algn="ctr"/>
            <a:t>Email</a:t>
          </a:fld>
          <a:endParaRPr lang="en-US" sz="1400" b="1" i="0" u="none" strike="noStrike">
            <a:solidFill>
              <a:srgbClr val="000000"/>
            </a:solidFill>
            <a:latin typeface="Calibri"/>
            <a:ea typeface="+mn-ea"/>
            <a:cs typeface="Calibri"/>
          </a:endParaRPr>
        </a:p>
      </xdr:txBody>
    </xdr:sp>
    <xdr:clientData/>
  </xdr:twoCellAnchor>
  <xdr:twoCellAnchor editAs="absolute">
    <xdr:from>
      <xdr:col>0</xdr:col>
      <xdr:colOff>280988</xdr:colOff>
      <xdr:row>20</xdr:row>
      <xdr:rowOff>139700</xdr:rowOff>
    </xdr:from>
    <xdr:to>
      <xdr:col>3</xdr:col>
      <xdr:colOff>481013</xdr:colOff>
      <xdr:row>22</xdr:row>
      <xdr:rowOff>44450</xdr:rowOff>
    </xdr:to>
    <xdr:sp macro="" textlink="search!T6">
      <xdr:nvSpPr>
        <xdr:cNvPr id="174" name="TextBox 173">
          <a:extLst>
            <a:ext uri="{FF2B5EF4-FFF2-40B4-BE49-F238E27FC236}">
              <a16:creationId xmlns:a16="http://schemas.microsoft.com/office/drawing/2014/main" id="{ED3871FA-FB45-8CEF-B1E5-F3B1A5CB1F52}"/>
            </a:ext>
          </a:extLst>
        </xdr:cNvPr>
        <xdr:cNvSpPr txBox="1"/>
      </xdr:nvSpPr>
      <xdr:spPr>
        <a:xfrm>
          <a:off x="280988" y="4029075"/>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746D60-110A-42DE-863C-DAED9205E7AC}" type="TxLink">
            <a:rPr lang="en-US" sz="1400" b="1" i="0" u="none" strike="noStrike">
              <a:solidFill>
                <a:srgbClr val="000000"/>
              </a:solidFill>
              <a:latin typeface="Calibri"/>
              <a:cs typeface="Calibri"/>
            </a:rPr>
            <a:pPr algn="ctr"/>
            <a:t>Religion</a:t>
          </a:fld>
          <a:endParaRPr lang="en-US" sz="1400" b="1" i="1">
            <a:solidFill>
              <a:srgbClr val="17121F"/>
            </a:solidFill>
          </a:endParaRPr>
        </a:p>
      </xdr:txBody>
    </xdr:sp>
    <xdr:clientData/>
  </xdr:twoCellAnchor>
  <xdr:twoCellAnchor editAs="absolute">
    <xdr:from>
      <xdr:col>0</xdr:col>
      <xdr:colOff>280988</xdr:colOff>
      <xdr:row>23</xdr:row>
      <xdr:rowOff>34925</xdr:rowOff>
    </xdr:from>
    <xdr:to>
      <xdr:col>3</xdr:col>
      <xdr:colOff>481013</xdr:colOff>
      <xdr:row>24</xdr:row>
      <xdr:rowOff>130175</xdr:rowOff>
    </xdr:to>
    <xdr:sp macro="" textlink="search!U6">
      <xdr:nvSpPr>
        <xdr:cNvPr id="175" name="TextBox 174">
          <a:extLst>
            <a:ext uri="{FF2B5EF4-FFF2-40B4-BE49-F238E27FC236}">
              <a16:creationId xmlns:a16="http://schemas.microsoft.com/office/drawing/2014/main" id="{1CA106B1-EAC5-5C17-5E09-DD754D2EE16F}"/>
            </a:ext>
          </a:extLst>
        </xdr:cNvPr>
        <xdr:cNvSpPr txBox="1"/>
      </xdr:nvSpPr>
      <xdr:spPr>
        <a:xfrm>
          <a:off x="280988" y="44958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F6C532-7145-4E40-8CF2-52CAD6382429}" type="TxLink">
            <a:rPr lang="en-US" sz="1400" b="1" i="0" u="none" strike="noStrike">
              <a:solidFill>
                <a:srgbClr val="000000"/>
              </a:solidFill>
              <a:latin typeface="Calibri"/>
              <a:cs typeface="Calibri"/>
            </a:rPr>
            <a:pPr algn="ctr"/>
            <a:t>Department</a:t>
          </a:fld>
          <a:endParaRPr lang="en-US" sz="1400" b="1" i="1">
            <a:solidFill>
              <a:srgbClr val="17121F"/>
            </a:solidFill>
          </a:endParaRPr>
        </a:p>
      </xdr:txBody>
    </xdr:sp>
    <xdr:clientData/>
  </xdr:twoCellAnchor>
  <xdr:twoCellAnchor editAs="absolute">
    <xdr:from>
      <xdr:col>0</xdr:col>
      <xdr:colOff>280988</xdr:colOff>
      <xdr:row>25</xdr:row>
      <xdr:rowOff>82550</xdr:rowOff>
    </xdr:from>
    <xdr:to>
      <xdr:col>3</xdr:col>
      <xdr:colOff>481013</xdr:colOff>
      <xdr:row>26</xdr:row>
      <xdr:rowOff>177800</xdr:rowOff>
    </xdr:to>
    <xdr:sp macro="" textlink="search!W6">
      <xdr:nvSpPr>
        <xdr:cNvPr id="176" name="TextBox 175">
          <a:extLst>
            <a:ext uri="{FF2B5EF4-FFF2-40B4-BE49-F238E27FC236}">
              <a16:creationId xmlns:a16="http://schemas.microsoft.com/office/drawing/2014/main" id="{99A7EFCE-2201-E57E-FDC6-CB919A275A78}"/>
            </a:ext>
          </a:extLst>
        </xdr:cNvPr>
        <xdr:cNvSpPr txBox="1"/>
      </xdr:nvSpPr>
      <xdr:spPr>
        <a:xfrm>
          <a:off x="280988" y="4924425"/>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545B2D-31AA-4455-ABD4-271B0920F5C5}" type="TxLink">
            <a:rPr lang="en-US" sz="1400" b="1" i="0" u="none" strike="noStrike">
              <a:solidFill>
                <a:srgbClr val="000000"/>
              </a:solidFill>
              <a:latin typeface="Calibri"/>
              <a:cs typeface="Calibri"/>
            </a:rPr>
            <a:pPr algn="ctr"/>
            <a:t>Employee_review</a:t>
          </a:fld>
          <a:endParaRPr lang="en-US" sz="1400" b="1" i="1">
            <a:solidFill>
              <a:srgbClr val="17121F"/>
            </a:solidFill>
          </a:endParaRPr>
        </a:p>
      </xdr:txBody>
    </xdr:sp>
    <xdr:clientData/>
  </xdr:twoCellAnchor>
  <xdr:twoCellAnchor editAs="absolute">
    <xdr:from>
      <xdr:col>0</xdr:col>
      <xdr:colOff>271463</xdr:colOff>
      <xdr:row>10</xdr:row>
      <xdr:rowOff>57150</xdr:rowOff>
    </xdr:from>
    <xdr:to>
      <xdr:col>3</xdr:col>
      <xdr:colOff>471488</xdr:colOff>
      <xdr:row>11</xdr:row>
      <xdr:rowOff>152400</xdr:rowOff>
    </xdr:to>
    <xdr:sp macro="" textlink="search!N7">
      <xdr:nvSpPr>
        <xdr:cNvPr id="178" name="TextBox 177">
          <a:extLst>
            <a:ext uri="{FF2B5EF4-FFF2-40B4-BE49-F238E27FC236}">
              <a16:creationId xmlns:a16="http://schemas.microsoft.com/office/drawing/2014/main" id="{42FFF743-1138-AC54-D4E7-8CAC02EA6FCD}"/>
            </a:ext>
          </a:extLst>
        </xdr:cNvPr>
        <xdr:cNvSpPr txBox="1"/>
      </xdr:nvSpPr>
      <xdr:spPr>
        <a:xfrm>
          <a:off x="271463" y="20383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5D4BB-A902-42E9-8A06-3F67D917F6E8}" type="TxLink">
            <a:rPr lang="en-US" sz="1100" b="0" i="0" u="sng" strike="noStrike">
              <a:solidFill>
                <a:schemeClr val="bg1">
                  <a:lumMod val="85000"/>
                </a:schemeClr>
              </a:solidFill>
              <a:latin typeface="Calibri"/>
              <a:cs typeface="Calibri"/>
            </a:rPr>
            <a:pPr algn="ctr"/>
            <a:t>Punjab</a:t>
          </a:fld>
          <a:endParaRPr lang="en-US" sz="1300" b="1" i="1" u="sng">
            <a:solidFill>
              <a:schemeClr val="bg1">
                <a:lumMod val="85000"/>
              </a:schemeClr>
            </a:solidFill>
          </a:endParaRPr>
        </a:p>
      </xdr:txBody>
    </xdr:sp>
    <xdr:clientData/>
  </xdr:twoCellAnchor>
  <xdr:twoCellAnchor editAs="absolute">
    <xdr:from>
      <xdr:col>0</xdr:col>
      <xdr:colOff>271463</xdr:colOff>
      <xdr:row>14</xdr:row>
      <xdr:rowOff>133350</xdr:rowOff>
    </xdr:from>
    <xdr:to>
      <xdr:col>3</xdr:col>
      <xdr:colOff>471488</xdr:colOff>
      <xdr:row>16</xdr:row>
      <xdr:rowOff>38100</xdr:rowOff>
    </xdr:to>
    <xdr:sp macro="" textlink="search!P7">
      <xdr:nvSpPr>
        <xdr:cNvPr id="180" name="TextBox 179">
          <a:extLst>
            <a:ext uri="{FF2B5EF4-FFF2-40B4-BE49-F238E27FC236}">
              <a16:creationId xmlns:a16="http://schemas.microsoft.com/office/drawing/2014/main" id="{FF15F455-C30D-FAE8-C36A-D0D8F2A77F7D}"/>
            </a:ext>
          </a:extLst>
        </xdr:cNvPr>
        <xdr:cNvSpPr txBox="1"/>
      </xdr:nvSpPr>
      <xdr:spPr>
        <a:xfrm>
          <a:off x="271463" y="28765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A46EBD-6E75-4B87-ADF0-E4BAC028EDE4}" type="TxLink">
            <a:rPr lang="en-US" sz="1400" b="1" i="0" u="sng" strike="noStrike">
              <a:solidFill>
                <a:schemeClr val="bg1">
                  <a:lumMod val="85000"/>
                </a:schemeClr>
              </a:solidFill>
              <a:latin typeface="Calibri"/>
              <a:cs typeface="Calibri"/>
            </a:rPr>
            <a:pPr algn="ctr"/>
            <a:t>50</a:t>
          </a:fld>
          <a:endParaRPr lang="en-US" sz="1400" b="1" i="1" u="sng">
            <a:solidFill>
              <a:schemeClr val="bg1">
                <a:lumMod val="85000"/>
              </a:schemeClr>
            </a:solidFill>
          </a:endParaRPr>
        </a:p>
      </xdr:txBody>
    </xdr:sp>
    <xdr:clientData/>
  </xdr:twoCellAnchor>
  <xdr:twoCellAnchor editAs="absolute">
    <xdr:from>
      <xdr:col>0</xdr:col>
      <xdr:colOff>271463</xdr:colOff>
      <xdr:row>17</xdr:row>
      <xdr:rowOff>6350</xdr:rowOff>
    </xdr:from>
    <xdr:to>
      <xdr:col>3</xdr:col>
      <xdr:colOff>471488</xdr:colOff>
      <xdr:row>18</xdr:row>
      <xdr:rowOff>92075</xdr:rowOff>
    </xdr:to>
    <xdr:sp macro="" textlink="search!R7">
      <xdr:nvSpPr>
        <xdr:cNvPr id="182" name="TextBox 181">
          <a:extLst>
            <a:ext uri="{FF2B5EF4-FFF2-40B4-BE49-F238E27FC236}">
              <a16:creationId xmlns:a16="http://schemas.microsoft.com/office/drawing/2014/main" id="{369510FB-175F-431D-BA5D-FEAC9AC2F037}"/>
            </a:ext>
          </a:extLst>
        </xdr:cNvPr>
        <xdr:cNvSpPr txBox="1"/>
      </xdr:nvSpPr>
      <xdr:spPr>
        <a:xfrm>
          <a:off x="271463" y="33147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862BF2-23D7-4AF2-AC17-DA740557E218}" type="TxLink">
            <a:rPr lang="en-US" sz="1100" b="0" i="0" u="sng" strike="noStrike">
              <a:solidFill>
                <a:schemeClr val="bg1">
                  <a:lumMod val="85000"/>
                </a:schemeClr>
              </a:solidFill>
              <a:latin typeface="Calibri"/>
              <a:cs typeface="Calibri"/>
            </a:rPr>
            <a:pPr algn="ctr"/>
            <a:t>+20 20 13419736</a:t>
          </a:fld>
          <a:endParaRPr lang="en-US" sz="1300" b="1" i="1" u="sng">
            <a:solidFill>
              <a:schemeClr val="bg1">
                <a:lumMod val="85000"/>
              </a:schemeClr>
            </a:solidFill>
          </a:endParaRPr>
        </a:p>
      </xdr:txBody>
    </xdr:sp>
    <xdr:clientData/>
  </xdr:twoCellAnchor>
  <xdr:twoCellAnchor editAs="absolute">
    <xdr:from>
      <xdr:col>0</xdr:col>
      <xdr:colOff>271463</xdr:colOff>
      <xdr:row>19</xdr:row>
      <xdr:rowOff>92075</xdr:rowOff>
    </xdr:from>
    <xdr:to>
      <xdr:col>3</xdr:col>
      <xdr:colOff>471488</xdr:colOff>
      <xdr:row>21</xdr:row>
      <xdr:rowOff>3175</xdr:rowOff>
    </xdr:to>
    <xdr:sp macro="" textlink="search!S7">
      <xdr:nvSpPr>
        <xdr:cNvPr id="183" name="TextBox 182">
          <a:extLst>
            <a:ext uri="{FF2B5EF4-FFF2-40B4-BE49-F238E27FC236}">
              <a16:creationId xmlns:a16="http://schemas.microsoft.com/office/drawing/2014/main" id="{08B22B31-F001-813A-F7D8-025FC9998AF4}"/>
            </a:ext>
          </a:extLst>
        </xdr:cNvPr>
        <xdr:cNvSpPr txBox="1"/>
      </xdr:nvSpPr>
      <xdr:spPr>
        <a:xfrm>
          <a:off x="271463" y="37909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73B157-1A5B-4422-86F4-DDC213B923DB}" type="TxLink">
            <a:rPr lang="en-US" sz="1400" b="1" i="0" u="sng" strike="noStrike">
              <a:solidFill>
                <a:schemeClr val="bg1">
                  <a:lumMod val="85000"/>
                </a:schemeClr>
              </a:solidFill>
              <a:latin typeface="Calibri"/>
              <a:cs typeface="Calibri"/>
            </a:rPr>
            <a:pPr algn="ctr"/>
            <a:t>Besan.Omar@Rare.com</a:t>
          </a:fld>
          <a:endParaRPr lang="en-US" sz="1400" b="1" i="1" u="sng">
            <a:solidFill>
              <a:schemeClr val="bg1">
                <a:lumMod val="85000"/>
              </a:schemeClr>
            </a:solidFill>
          </a:endParaRPr>
        </a:p>
      </xdr:txBody>
    </xdr:sp>
    <xdr:clientData/>
  </xdr:twoCellAnchor>
  <xdr:twoCellAnchor editAs="absolute">
    <xdr:from>
      <xdr:col>0</xdr:col>
      <xdr:colOff>271463</xdr:colOff>
      <xdr:row>21</xdr:row>
      <xdr:rowOff>139700</xdr:rowOff>
    </xdr:from>
    <xdr:to>
      <xdr:col>3</xdr:col>
      <xdr:colOff>471488</xdr:colOff>
      <xdr:row>23</xdr:row>
      <xdr:rowOff>44450</xdr:rowOff>
    </xdr:to>
    <xdr:sp macro="" textlink="search!T7">
      <xdr:nvSpPr>
        <xdr:cNvPr id="184" name="TextBox 183">
          <a:extLst>
            <a:ext uri="{FF2B5EF4-FFF2-40B4-BE49-F238E27FC236}">
              <a16:creationId xmlns:a16="http://schemas.microsoft.com/office/drawing/2014/main" id="{EFD23616-1D88-49C6-194C-477828ADE68A}"/>
            </a:ext>
          </a:extLst>
        </xdr:cNvPr>
        <xdr:cNvSpPr txBox="1"/>
      </xdr:nvSpPr>
      <xdr:spPr>
        <a:xfrm>
          <a:off x="271463" y="4219575"/>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90A88-61AF-41FD-A497-55F94CB88E84}" type="TxLink">
            <a:rPr lang="en-US" sz="1100" b="0" i="0" u="sng" strike="noStrike">
              <a:solidFill>
                <a:schemeClr val="bg1">
                  <a:lumMod val="85000"/>
                </a:schemeClr>
              </a:solidFill>
              <a:latin typeface="Calibri"/>
              <a:cs typeface="Calibri"/>
            </a:rPr>
            <a:pPr algn="ctr"/>
            <a:t>Muslim</a:t>
          </a:fld>
          <a:endParaRPr lang="en-US" sz="1300" b="1" i="1" u="sng">
            <a:solidFill>
              <a:schemeClr val="bg1">
                <a:lumMod val="85000"/>
              </a:schemeClr>
            </a:solidFill>
          </a:endParaRPr>
        </a:p>
      </xdr:txBody>
    </xdr:sp>
    <xdr:clientData/>
  </xdr:twoCellAnchor>
  <xdr:twoCellAnchor editAs="absolute">
    <xdr:from>
      <xdr:col>0</xdr:col>
      <xdr:colOff>271463</xdr:colOff>
      <xdr:row>24</xdr:row>
      <xdr:rowOff>15875</xdr:rowOff>
    </xdr:from>
    <xdr:to>
      <xdr:col>3</xdr:col>
      <xdr:colOff>471488</xdr:colOff>
      <xdr:row>25</xdr:row>
      <xdr:rowOff>111125</xdr:rowOff>
    </xdr:to>
    <xdr:sp macro="" textlink="search!U7">
      <xdr:nvSpPr>
        <xdr:cNvPr id="185" name="TextBox 184">
          <a:extLst>
            <a:ext uri="{FF2B5EF4-FFF2-40B4-BE49-F238E27FC236}">
              <a16:creationId xmlns:a16="http://schemas.microsoft.com/office/drawing/2014/main" id="{D258E2F1-E340-EC3A-F75A-5334BF29B100}"/>
            </a:ext>
          </a:extLst>
        </xdr:cNvPr>
        <xdr:cNvSpPr txBox="1"/>
      </xdr:nvSpPr>
      <xdr:spPr>
        <a:xfrm>
          <a:off x="271463" y="466725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C94743-F27E-4DA5-9EA3-8D072328CF41}" type="TxLink">
            <a:rPr lang="en-US" sz="1100" b="0" i="0" u="sng" strike="noStrike">
              <a:solidFill>
                <a:schemeClr val="bg1">
                  <a:lumMod val="85000"/>
                </a:schemeClr>
              </a:solidFill>
              <a:latin typeface="Calibri"/>
              <a:cs typeface="Calibri"/>
            </a:rPr>
            <a:pPr algn="ctr"/>
            <a:t>Sales</a:t>
          </a:fld>
          <a:endParaRPr lang="en-US" sz="1300" b="1" i="1" u="sng">
            <a:solidFill>
              <a:schemeClr val="bg1">
                <a:lumMod val="85000"/>
              </a:schemeClr>
            </a:solidFill>
          </a:endParaRPr>
        </a:p>
      </xdr:txBody>
    </xdr:sp>
    <xdr:clientData/>
  </xdr:twoCellAnchor>
  <xdr:twoCellAnchor editAs="absolute">
    <xdr:from>
      <xdr:col>0</xdr:col>
      <xdr:colOff>271463</xdr:colOff>
      <xdr:row>26</xdr:row>
      <xdr:rowOff>73025</xdr:rowOff>
    </xdr:from>
    <xdr:to>
      <xdr:col>3</xdr:col>
      <xdr:colOff>471488</xdr:colOff>
      <xdr:row>27</xdr:row>
      <xdr:rowOff>168275</xdr:rowOff>
    </xdr:to>
    <xdr:sp macro="" textlink="search!W7">
      <xdr:nvSpPr>
        <xdr:cNvPr id="186" name="TextBox 185">
          <a:extLst>
            <a:ext uri="{FF2B5EF4-FFF2-40B4-BE49-F238E27FC236}">
              <a16:creationId xmlns:a16="http://schemas.microsoft.com/office/drawing/2014/main" id="{4D19D915-23AA-CA1C-D97D-5FEEBD546AF9}"/>
            </a:ext>
          </a:extLst>
        </xdr:cNvPr>
        <xdr:cNvSpPr txBox="1"/>
      </xdr:nvSpPr>
      <xdr:spPr>
        <a:xfrm>
          <a:off x="271463" y="51054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7CFAE4-F8B9-4E5E-A140-45287103B720}" type="TxLink">
            <a:rPr lang="en-US" sz="1100" b="0" i="0" u="sng" strike="noStrike">
              <a:solidFill>
                <a:schemeClr val="bg1">
                  <a:lumMod val="85000"/>
                </a:schemeClr>
              </a:solidFill>
              <a:latin typeface="Calibri"/>
              <a:cs typeface="Calibri"/>
            </a:rPr>
            <a:pPr algn="ctr"/>
            <a:t>In_service</a:t>
          </a:fld>
          <a:endParaRPr lang="en-US" sz="1300" b="1" i="1" u="sng">
            <a:solidFill>
              <a:schemeClr val="bg1">
                <a:lumMod val="85000"/>
              </a:schemeClr>
            </a:solidFill>
          </a:endParaRPr>
        </a:p>
      </xdr:txBody>
    </xdr:sp>
    <xdr:clientData/>
  </xdr:twoCellAnchor>
  <xdr:twoCellAnchor editAs="absolute">
    <xdr:from>
      <xdr:col>0</xdr:col>
      <xdr:colOff>271463</xdr:colOff>
      <xdr:row>12</xdr:row>
      <xdr:rowOff>66675</xdr:rowOff>
    </xdr:from>
    <xdr:to>
      <xdr:col>3</xdr:col>
      <xdr:colOff>471488</xdr:colOff>
      <xdr:row>13</xdr:row>
      <xdr:rowOff>161925</xdr:rowOff>
    </xdr:to>
    <xdr:sp macro="" textlink="search!Q7">
      <xdr:nvSpPr>
        <xdr:cNvPr id="189" name="TextBox 188">
          <a:extLst>
            <a:ext uri="{FF2B5EF4-FFF2-40B4-BE49-F238E27FC236}">
              <a16:creationId xmlns:a16="http://schemas.microsoft.com/office/drawing/2014/main" id="{6D73253A-9974-6B0A-15AF-81A220BDFA12}"/>
            </a:ext>
          </a:extLst>
        </xdr:cNvPr>
        <xdr:cNvSpPr txBox="1"/>
      </xdr:nvSpPr>
      <xdr:spPr>
        <a:xfrm>
          <a:off x="271463" y="2428875"/>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F05E99-77F6-488E-9981-651E57B69479}" type="TxLink">
            <a:rPr lang="en-US" sz="1400" b="1" i="0" u="sng" strike="noStrike">
              <a:solidFill>
                <a:schemeClr val="bg1">
                  <a:lumMod val="85000"/>
                </a:schemeClr>
              </a:solidFill>
              <a:latin typeface="Calibri"/>
              <a:cs typeface="Calibri"/>
            </a:rPr>
            <a:pPr algn="ctr"/>
            <a:t>Married</a:t>
          </a:fld>
          <a:endParaRPr lang="en-US" sz="1400" b="1" i="1" u="sng">
            <a:solidFill>
              <a:schemeClr val="bg1">
                <a:lumMod val="85000"/>
              </a:schemeClr>
            </a:solidFill>
          </a:endParaRPr>
        </a:p>
      </xdr:txBody>
    </xdr:sp>
    <xdr:clientData/>
  </xdr:twoCellAnchor>
  <xdr:twoCellAnchor editAs="absolute">
    <xdr:from>
      <xdr:col>0</xdr:col>
      <xdr:colOff>280988</xdr:colOff>
      <xdr:row>11</xdr:row>
      <xdr:rowOff>76200</xdr:rowOff>
    </xdr:from>
    <xdr:to>
      <xdr:col>3</xdr:col>
      <xdr:colOff>481013</xdr:colOff>
      <xdr:row>12</xdr:row>
      <xdr:rowOff>171450</xdr:rowOff>
    </xdr:to>
    <xdr:sp macro="" textlink="search!Q6">
      <xdr:nvSpPr>
        <xdr:cNvPr id="190" name="TextBox 189">
          <a:extLst>
            <a:ext uri="{FF2B5EF4-FFF2-40B4-BE49-F238E27FC236}">
              <a16:creationId xmlns:a16="http://schemas.microsoft.com/office/drawing/2014/main" id="{FF9F2F2F-DA0A-418D-F09F-74943BE6F8F3}"/>
            </a:ext>
          </a:extLst>
        </xdr:cNvPr>
        <xdr:cNvSpPr txBox="1"/>
      </xdr:nvSpPr>
      <xdr:spPr>
        <a:xfrm>
          <a:off x="280988" y="22479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CA94AD-AA6B-453B-9654-FFF99D3B4FE7}" type="TxLink">
            <a:rPr lang="en-US" sz="1400" b="1" i="0" u="none" strike="noStrike">
              <a:solidFill>
                <a:srgbClr val="000000"/>
              </a:solidFill>
              <a:latin typeface="Calibri"/>
              <a:cs typeface="Calibri"/>
            </a:rPr>
            <a:pPr algn="ctr"/>
            <a:t>Status</a:t>
          </a:fld>
          <a:endParaRPr lang="en-US" sz="1400" b="1" i="1">
            <a:solidFill>
              <a:srgbClr val="17121F"/>
            </a:solidFill>
          </a:endParaRPr>
        </a:p>
      </xdr:txBody>
    </xdr:sp>
    <xdr:clientData/>
  </xdr:twoCellAnchor>
  <xdr:twoCellAnchor editAs="absolute">
    <xdr:from>
      <xdr:col>0</xdr:col>
      <xdr:colOff>271463</xdr:colOff>
      <xdr:row>7</xdr:row>
      <xdr:rowOff>38100</xdr:rowOff>
    </xdr:from>
    <xdr:to>
      <xdr:col>3</xdr:col>
      <xdr:colOff>471488</xdr:colOff>
      <xdr:row>8</xdr:row>
      <xdr:rowOff>133350</xdr:rowOff>
    </xdr:to>
    <xdr:sp macro="" textlink="search!V7">
      <xdr:nvSpPr>
        <xdr:cNvPr id="191" name="TextBox 190">
          <a:extLst>
            <a:ext uri="{FF2B5EF4-FFF2-40B4-BE49-F238E27FC236}">
              <a16:creationId xmlns:a16="http://schemas.microsoft.com/office/drawing/2014/main" id="{96963C0E-B6B2-D92D-5D4C-1CEDE613D3F3}"/>
            </a:ext>
          </a:extLst>
        </xdr:cNvPr>
        <xdr:cNvSpPr txBox="1"/>
      </xdr:nvSpPr>
      <xdr:spPr>
        <a:xfrm>
          <a:off x="271463" y="1447800"/>
          <a:ext cx="1704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CE97E-BFA8-4028-BCAD-50B89EB45C4C}" type="TxLink">
            <a:rPr lang="en-US" sz="1100" b="0" i="0" u="sng" strike="noStrike">
              <a:solidFill>
                <a:schemeClr val="bg1">
                  <a:lumMod val="85000"/>
                </a:schemeClr>
              </a:solidFill>
              <a:latin typeface="Calibri"/>
              <a:cs typeface="Calibri"/>
            </a:rPr>
            <a:pPr algn="ctr"/>
            <a:t>Active</a:t>
          </a:fld>
          <a:endParaRPr lang="en-US" sz="1300" b="1" i="1" u="sng">
            <a:solidFill>
              <a:schemeClr val="bg1">
                <a:lumMod val="85000"/>
              </a:schemeClr>
            </a:solidFill>
          </a:endParaRPr>
        </a:p>
      </xdr:txBody>
    </xdr:sp>
    <xdr:clientData/>
  </xdr:twoCellAnchor>
  <xdr:twoCellAnchor editAs="absolute">
    <xdr:from>
      <xdr:col>0</xdr:col>
      <xdr:colOff>176214</xdr:colOff>
      <xdr:row>7</xdr:row>
      <xdr:rowOff>19050</xdr:rowOff>
    </xdr:from>
    <xdr:to>
      <xdr:col>3</xdr:col>
      <xdr:colOff>619126</xdr:colOff>
      <xdr:row>9</xdr:row>
      <xdr:rowOff>104775</xdr:rowOff>
    </xdr:to>
    <xdr:sp macro="" textlink="search!O13">
      <xdr:nvSpPr>
        <xdr:cNvPr id="192" name="TextBox 191">
          <a:extLst>
            <a:ext uri="{FF2B5EF4-FFF2-40B4-BE49-F238E27FC236}">
              <a16:creationId xmlns:a16="http://schemas.microsoft.com/office/drawing/2014/main" id="{DB1647E8-B0A8-5B56-41ED-070CA593CCB3}"/>
            </a:ext>
          </a:extLst>
        </xdr:cNvPr>
        <xdr:cNvSpPr txBox="1"/>
      </xdr:nvSpPr>
      <xdr:spPr>
        <a:xfrm>
          <a:off x="176214" y="1428750"/>
          <a:ext cx="1947862"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29456-9F2C-454E-9EDF-BC7A79C0724D}" type="TxLink">
            <a:rPr lang="en-US" sz="1100" b="1" i="0" u="none" strike="noStrike">
              <a:solidFill>
                <a:srgbClr val="F82868"/>
              </a:solidFill>
              <a:latin typeface="Calibri"/>
              <a:cs typeface="Calibri"/>
            </a:rPr>
            <a:pPr algn="ctr"/>
            <a:t> </a:t>
          </a:fld>
          <a:endParaRPr lang="en-US" sz="1300" b="1" i="1" u="sng">
            <a:solidFill>
              <a:srgbClr val="F82868"/>
            </a:solidFill>
          </a:endParaRPr>
        </a:p>
      </xdr:txBody>
    </xdr:sp>
    <xdr:clientData/>
  </xdr:twoCellAnchor>
  <xdr:twoCellAnchor editAs="oneCell">
    <xdr:from>
      <xdr:col>6</xdr:col>
      <xdr:colOff>285750</xdr:colOff>
      <xdr:row>1</xdr:row>
      <xdr:rowOff>28576</xdr:rowOff>
    </xdr:from>
    <xdr:to>
      <xdr:col>7</xdr:col>
      <xdr:colOff>533400</xdr:colOff>
      <xdr:row>4</xdr:row>
      <xdr:rowOff>57151</xdr:rowOff>
    </xdr:to>
    <mc:AlternateContent xmlns:mc="http://schemas.openxmlformats.org/markup-compatibility/2006" xmlns:a14="http://schemas.microsoft.com/office/drawing/2010/main">
      <mc:Choice Requires="a14">
        <xdr:graphicFrame macro="">
          <xdr:nvGraphicFramePr>
            <xdr:cNvPr id="193" name="Employee_status">
              <a:extLst>
                <a:ext uri="{FF2B5EF4-FFF2-40B4-BE49-F238E27FC236}">
                  <a16:creationId xmlns:a16="http://schemas.microsoft.com/office/drawing/2014/main" id="{3535535B-0A80-4DBF-A4C4-C77C8465CE52}"/>
                </a:ext>
              </a:extLst>
            </xdr:cNvPr>
            <xdr:cNvGraphicFramePr/>
          </xdr:nvGraphicFramePr>
          <xdr:xfrm>
            <a:off x="0" y="0"/>
            <a:ext cx="0" cy="0"/>
          </xdr:xfrm>
          <a:graphic>
            <a:graphicData uri="http://schemas.microsoft.com/office/drawing/2010/slicer">
              <sle:slicer xmlns:sle="http://schemas.microsoft.com/office/drawing/2010/slicer" name="Employee_status"/>
            </a:graphicData>
          </a:graphic>
        </xdr:graphicFrame>
      </mc:Choice>
      <mc:Fallback xmlns="">
        <xdr:sp macro="" textlink="">
          <xdr:nvSpPr>
            <xdr:cNvPr id="0" name=""/>
            <xdr:cNvSpPr>
              <a:spLocks noTextEdit="1"/>
            </xdr:cNvSpPr>
          </xdr:nvSpPr>
          <xdr:spPr>
            <a:xfrm>
              <a:off x="8153400" y="228601"/>
              <a:ext cx="85725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76199</xdr:colOff>
      <xdr:row>1</xdr:row>
      <xdr:rowOff>27814</xdr:rowOff>
    </xdr:from>
    <xdr:to>
      <xdr:col>11</xdr:col>
      <xdr:colOff>561974</xdr:colOff>
      <xdr:row>4</xdr:row>
      <xdr:rowOff>57151</xdr:rowOff>
    </xdr:to>
    <mc:AlternateContent xmlns:mc="http://schemas.openxmlformats.org/markup-compatibility/2006" xmlns:a14="http://schemas.microsoft.com/office/drawing/2010/main">
      <mc:Choice Requires="a14">
        <xdr:graphicFrame macro="">
          <xdr:nvGraphicFramePr>
            <xdr:cNvPr id="194" name="Distribution Center">
              <a:extLst>
                <a:ext uri="{FF2B5EF4-FFF2-40B4-BE49-F238E27FC236}">
                  <a16:creationId xmlns:a16="http://schemas.microsoft.com/office/drawing/2014/main" id="{81D68A95-3FC4-440B-AD9C-6B1376A23D95}"/>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mlns="">
        <xdr:sp macro="" textlink="">
          <xdr:nvSpPr>
            <xdr:cNvPr id="0" name=""/>
            <xdr:cNvSpPr>
              <a:spLocks noTextEdit="1"/>
            </xdr:cNvSpPr>
          </xdr:nvSpPr>
          <xdr:spPr>
            <a:xfrm>
              <a:off x="10382249" y="227839"/>
              <a:ext cx="1095375"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590550</xdr:colOff>
      <xdr:row>1</xdr:row>
      <xdr:rowOff>27814</xdr:rowOff>
    </xdr:from>
    <xdr:to>
      <xdr:col>10</xdr:col>
      <xdr:colOff>9525</xdr:colOff>
      <xdr:row>4</xdr:row>
      <xdr:rowOff>57151</xdr:rowOff>
    </xdr:to>
    <mc:AlternateContent xmlns:mc="http://schemas.openxmlformats.org/markup-compatibility/2006" xmlns:a14="http://schemas.microsoft.com/office/drawing/2010/main">
      <mc:Choice Requires="a14">
        <xdr:graphicFrame macro="">
          <xdr:nvGraphicFramePr>
            <xdr:cNvPr id="195" name="Employee_review">
              <a:extLst>
                <a:ext uri="{FF2B5EF4-FFF2-40B4-BE49-F238E27FC236}">
                  <a16:creationId xmlns:a16="http://schemas.microsoft.com/office/drawing/2014/main" id="{C81CE8CA-9025-4A56-8665-4B9CAB98BD64}"/>
                </a:ext>
              </a:extLst>
            </xdr:cNvPr>
            <xdr:cNvGraphicFramePr/>
          </xdr:nvGraphicFramePr>
          <xdr:xfrm>
            <a:off x="0" y="0"/>
            <a:ext cx="0" cy="0"/>
          </xdr:xfrm>
          <a:graphic>
            <a:graphicData uri="http://schemas.microsoft.com/office/drawing/2010/slicer">
              <sle:slicer xmlns:sle="http://schemas.microsoft.com/office/drawing/2010/slicer" name="Employee_review"/>
            </a:graphicData>
          </a:graphic>
        </xdr:graphicFrame>
      </mc:Choice>
      <mc:Fallback xmlns="">
        <xdr:sp macro="" textlink="">
          <xdr:nvSpPr>
            <xdr:cNvPr id="0" name=""/>
            <xdr:cNvSpPr>
              <a:spLocks noTextEdit="1"/>
            </xdr:cNvSpPr>
          </xdr:nvSpPr>
          <xdr:spPr>
            <a:xfrm>
              <a:off x="9067800" y="227839"/>
              <a:ext cx="1247775"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171450</xdr:colOff>
      <xdr:row>24</xdr:row>
      <xdr:rowOff>149224</xdr:rowOff>
    </xdr:from>
    <xdr:to>
      <xdr:col>11</xdr:col>
      <xdr:colOff>514350</xdr:colOff>
      <xdr:row>29</xdr:row>
      <xdr:rowOff>120649</xdr:rowOff>
    </xdr:to>
    <xdr:sp macro="" textlink="">
      <xdr:nvSpPr>
        <xdr:cNvPr id="196" name="TextBox 195">
          <a:extLst>
            <a:ext uri="{FF2B5EF4-FFF2-40B4-BE49-F238E27FC236}">
              <a16:creationId xmlns:a16="http://schemas.microsoft.com/office/drawing/2014/main" id="{52059BEC-EFAA-0A5D-7897-1EC47E87590B}"/>
            </a:ext>
          </a:extLst>
        </xdr:cNvPr>
        <xdr:cNvSpPr txBox="1"/>
      </xdr:nvSpPr>
      <xdr:spPr>
        <a:xfrm>
          <a:off x="9709150" y="4645024"/>
          <a:ext cx="2266950" cy="89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- 16% of the employee</a:t>
          </a:r>
          <a:r>
            <a:rPr lang="en-US" sz="1000" baseline="0"/>
            <a:t> needs to be set on retirement.</a:t>
          </a:r>
        </a:p>
        <a:p>
          <a:r>
            <a:rPr lang="en-US" sz="1000" baseline="0"/>
            <a:t>- 10 Employee are inactive and needs to be taken out of pay roll.</a:t>
          </a:r>
          <a:endParaRPr lang="en-US" sz="1000"/>
        </a:p>
      </xdr:txBody>
    </xdr:sp>
    <xdr:clientData/>
  </xdr:twoCellAnchor>
  <xdr:twoCellAnchor>
    <xdr:from>
      <xdr:col>12</xdr:col>
      <xdr:colOff>76200</xdr:colOff>
      <xdr:row>5</xdr:row>
      <xdr:rowOff>180975</xdr:rowOff>
    </xdr:from>
    <xdr:to>
      <xdr:col>13</xdr:col>
      <xdr:colOff>438150</xdr:colOff>
      <xdr:row>8</xdr:row>
      <xdr:rowOff>142875</xdr:rowOff>
    </xdr:to>
    <xdr:sp macro="" textlink="">
      <xdr:nvSpPr>
        <xdr:cNvPr id="197" name="Rectangle: Rounded Corners 196">
          <a:hlinkClick xmlns:r="http://schemas.openxmlformats.org/officeDocument/2006/relationships" r:id="rId15"/>
          <a:extLst>
            <a:ext uri="{FF2B5EF4-FFF2-40B4-BE49-F238E27FC236}">
              <a16:creationId xmlns:a16="http://schemas.microsoft.com/office/drawing/2014/main" id="{BB00C1CF-3E6E-E964-BF3E-748E8A053B6A}"/>
            </a:ext>
          </a:extLst>
        </xdr:cNvPr>
        <xdr:cNvSpPr/>
      </xdr:nvSpPr>
      <xdr:spPr>
        <a:xfrm>
          <a:off x="11601450" y="1209675"/>
          <a:ext cx="971550" cy="5334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400"/>
            <a:t>Hrdata</a:t>
          </a:r>
        </a:p>
      </xdr:txBody>
    </xdr:sp>
    <xdr:clientData/>
  </xdr:twoCellAnchor>
  <xdr:twoCellAnchor>
    <xdr:from>
      <xdr:col>12</xdr:col>
      <xdr:colOff>123825</xdr:colOff>
      <xdr:row>9</xdr:row>
      <xdr:rowOff>85725</xdr:rowOff>
    </xdr:from>
    <xdr:to>
      <xdr:col>13</xdr:col>
      <xdr:colOff>485775</xdr:colOff>
      <xdr:row>12</xdr:row>
      <xdr:rowOff>47625</xdr:rowOff>
    </xdr:to>
    <xdr:sp macro="" textlink="">
      <xdr:nvSpPr>
        <xdr:cNvPr id="198" name="Rectangle: Rounded Corners 197">
          <a:hlinkClick xmlns:r="http://schemas.openxmlformats.org/officeDocument/2006/relationships" r:id="rId16"/>
          <a:extLst>
            <a:ext uri="{FF2B5EF4-FFF2-40B4-BE49-F238E27FC236}">
              <a16:creationId xmlns:a16="http://schemas.microsoft.com/office/drawing/2014/main" id="{ACF4EB70-3FCF-6D26-4042-5CAEDA037688}"/>
            </a:ext>
          </a:extLst>
        </xdr:cNvPr>
        <xdr:cNvSpPr/>
      </xdr:nvSpPr>
      <xdr:spPr>
        <a:xfrm>
          <a:off x="11649075" y="1876425"/>
          <a:ext cx="971550" cy="5334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400"/>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01.777469560184" createdVersion="8" refreshedVersion="8" minRefreshableVersion="3" recordCount="151" xr:uid="{D66F9ABB-A2A4-428A-B781-9F5D1F42CF2F}">
  <cacheSource type="worksheet">
    <worksheetSource name="hrdata"/>
  </cacheSource>
  <cacheFields count="17">
    <cacheField name="Employee_name" numFmtId="0">
      <sharedItems count="151">
        <s v="Andhra Pradesh"/>
        <s v="Arunachal Pradesh"/>
        <s v="Assam"/>
        <s v="Bihar"/>
        <s v="Chhattisgarh"/>
        <s v="Goa"/>
        <s v="Gujarat"/>
        <s v="Haryana"/>
        <s v="Himachal Pradesh"/>
        <s v="Jammu &amp; Kashmir"/>
        <s v="Jharkhand"/>
        <s v="Karnataka"/>
        <s v="Kerala"/>
        <s v="Madhya Pradesh"/>
        <s v="Maharashtra"/>
        <s v="Manipur"/>
        <s v="Meghalaya"/>
        <s v="Mizoram"/>
        <s v="Nagaland"/>
        <s v="Orissa"/>
        <s v="Punjab"/>
        <s v="Rajasthan"/>
        <s v="Sikkim"/>
        <s v="Tamil Nadu"/>
        <s v="Telangana"/>
        <s v="Tripura"/>
        <s v="Uttar Pradesh"/>
        <s v="Uttarakhand"/>
        <s v="West Bengal"/>
        <s v="Omar Ebrahim Mosa"/>
        <s v="Hadija Kamal T"/>
        <s v="Enas Loyai Reda"/>
        <s v="Sujeet Kumar Mitra"/>
        <s v="Matthew Sam Praise"/>
        <s v="Eswar S Babu"/>
        <s v="Majdi Ramz Karim"/>
        <s v="Ruby Daniel James"/>
        <s v="Ahmad Ali Jamil"/>
        <s v="Maher Khaleel Shafiq"/>
        <s v="Robbie Adams Williams"/>
        <s v="Dawood Nizar Dahi"/>
        <s v="Akram Raafat Hani"/>
        <s v="Ahlam Hani Khalid"/>
        <s v="Fahid Laith Al Zaidi"/>
        <s v="Samer Rahman Ali"/>
        <s v="Arun Kumar Sharma"/>
        <s v="Tomas Madrigal Santiago"/>
        <s v="Faiz Khaldoon Al Kendi"/>
        <s v="Mohammad Ramzi Al Rumaithi"/>
        <s v="Jihad Mustafa Osama"/>
        <s v="Katie Dylan Alexander"/>
        <s v="Rasha Ahmed Al Roujoob"/>
        <s v="Hana Ali Rushdi"/>
        <s v="Tag Al Sir Hassan Ahmed"/>
        <s v="Sneha Rajendra Thakur"/>
        <s v="Vinod Gangadhar Pillai"/>
        <s v="Vijay Dinanath Chouhan"/>
        <s v="Pradeep K Dinkar"/>
        <s v="Hani Mohammad Fawzi"/>
        <s v="Jassim Ali Diya"/>
        <s v="Majid Ramzi Shahab"/>
        <s v="Ismail Omeiza Mumin"/>
        <s v="Jenet Olawole Titilomo"/>
        <s v="Hasib Sabah Al Hamadi"/>
        <s v="Afif Basem Rezk"/>
        <s v="Ankur Kumar Dhar"/>
        <s v="Duha Bilal Al Zaidi"/>
        <s v="Yaqoub Mansoor Loyai"/>
        <s v="Jean Montalbo Gregorio"/>
        <s v="Abdul Kadir Mukhtar Usman"/>
        <s v="Pushparaj Vishwanath Shetty"/>
        <s v="Sivakumar N Ravichandran"/>
        <s v="Firas Mutasim Nasir"/>
        <s v="Adeline Adam Absolon"/>
        <s v="Akram Saleem Tahboob"/>
        <s v="Sunita Singh Grewal"/>
        <s v="Amjad Ramzi Reda"/>
        <s v="Hatim Ridwan Al Blooki"/>
        <s v="Rasheed Mohammad Reda"/>
        <s v="Khalid Omar Bustan"/>
        <s v="Sindhu Veluthakkal Sugathan"/>
        <s v="Ivan Maniquis Santos"/>
        <s v="Mustafa Ali Kamal"/>
        <s v="Fahim Rasheed Al Ali"/>
        <s v="Amjad Nabil Waheed"/>
        <s v="Tahir Ghareeb Walid"/>
        <s v="Esmail Anas Al Mansouri"/>
        <s v="Asim bassam Waleed"/>
        <s v="Humaid Khaldoon Al Shamsi"/>
        <s v="Hussain Saif Al Zaabi"/>
        <s v="Ibrahim Mohammad Khader"/>
        <s v="Adrien Alain Alban"/>
        <s v="Jaber Khalifa Hassan"/>
        <s v="Suha Kereem Ayesh"/>
        <s v="Nino Sison Montalbo"/>
        <s v="Indra Rajesh Singh"/>
        <s v="Khalifa Rashid Al Qarni"/>
        <s v="Sabir Bassam Aziz"/>
        <s v="Sheetal Singh Shetti"/>
        <s v="Amer jihad Tahboob"/>
        <s v="Mohammad Ali Mustafa"/>
        <s v="Maher Omar Zaahir"/>
        <s v="Rangarajan Vasudev Balaji"/>
        <s v="Fadi Obada Al Mehairbi"/>
        <s v="Edison Tan Arceo"/>
        <s v="Roderick Cruz Zabala"/>
        <s v="Chetna Mahesh Sharma"/>
        <s v="Malek Khalid Rushdi"/>
        <s v="Jack George Daniel"/>
        <s v="Rakesh Kumar Bhatiya"/>
        <s v="Amrita Pal Chopra"/>
        <s v="Mamdouh Omar Al Azraq"/>
        <s v="David Keating Trash"/>
        <s v="Ronan Cowell Gaile"/>
        <s v="Stephen Gaitley Peterson"/>
        <s v="Ismail Yusha"/>
        <s v="Sunil Balasaheb Tauro"/>
        <s v="Jay Salvador Magboo"/>
        <s v="Julius Ancaja Reyes"/>
        <s v="Ramesh Vishnu Menon"/>
        <s v="Pradeep Singh Katoch"/>
        <s v="Ata ullah dawood Majid"/>
        <s v="yasser Ali Kamel"/>
        <s v="Shazia Hussain Khan"/>
        <s v="Walid waleed Ali"/>
        <s v="hosni Sad Shaheen"/>
        <s v="Ayman Rami Mohammad"/>
        <s v="Mosa waleed Salim"/>
        <s v="Salim Mohammad Al Shamsi"/>
        <s v="Fakhri Rauf Mohammad"/>
        <s v="Rami Habib Al Huda"/>
        <s v="Raid Mohammad Mustafa"/>
        <s v="Raid Hamad Zaabi"/>
        <s v="Tahani Yousef Al Zaraq"/>
        <s v="Ali rami Jabir"/>
        <s v="Haydar Riad Al Qubaisi"/>
        <s v="Omran Salah Mohammad"/>
        <s v="Shaheen sameer Saleem"/>
        <s v="Gorge firas Essa"/>
        <s v="Loyai samer Ibrahim"/>
        <s v="Saeed Haitham Abdullah"/>
        <s v="Abdul Aziz Rajab Qasim"/>
        <s v="Najma Shah Heptullah"/>
        <s v="Robert Aguinaldo Aquino"/>
        <s v="Ali Mohammad Al Shamsi"/>
        <s v="hossam Ali"/>
        <s v="Mansour Yahya"/>
        <s v="Ahmed Mohammad"/>
        <s v="hossam Ali Saeed"/>
        <s v="Mansour Yahya Saad"/>
        <s v="Ahmed Mohammad Khader"/>
      </sharedItems>
    </cacheField>
    <cacheField name="Employee_firstname" numFmtId="0">
      <sharedItems/>
    </cacheField>
    <cacheField name="Employee_lastname" numFmtId="0">
      <sharedItems/>
    </cacheField>
    <cacheField name="Status" numFmtId="0">
      <sharedItems count="3">
        <s v="Married"/>
        <s v="Single"/>
        <s v="Divorced"/>
      </sharedItems>
    </cacheField>
    <cacheField name="gender" numFmtId="0">
      <sharedItems count="2">
        <s v="Male"/>
        <s v="Female"/>
      </sharedItems>
    </cacheField>
    <cacheField name="Age" numFmtId="0">
      <sharedItems containsSemiMixedTypes="0" containsString="0" containsNumber="1" containsInteger="1" minValue="25" maxValue="69" count="45">
        <n v="67"/>
        <n v="29"/>
        <n v="42"/>
        <n v="68"/>
        <n v="34"/>
        <n v="32"/>
        <n v="45"/>
        <n v="30"/>
        <n v="65"/>
        <n v="54"/>
        <n v="49"/>
        <n v="37"/>
        <n v="51"/>
        <n v="58"/>
        <n v="61"/>
        <n v="26"/>
        <n v="41"/>
        <n v="55"/>
        <n v="50"/>
        <n v="43"/>
        <n v="46"/>
        <n v="62"/>
        <n v="44"/>
        <n v="69"/>
        <n v="57"/>
        <n v="47"/>
        <n v="40"/>
        <n v="25"/>
        <n v="64"/>
        <n v="66"/>
        <n v="39"/>
        <n v="33"/>
        <n v="38"/>
        <n v="60"/>
        <n v="27"/>
        <n v="35"/>
        <n v="63"/>
        <n v="36"/>
        <n v="31"/>
        <n v="52"/>
        <n v="56"/>
        <n v="48"/>
        <n v="53"/>
        <n v="28"/>
        <n v="59"/>
      </sharedItems>
    </cacheField>
    <cacheField name="Employee_status" numFmtId="0">
      <sharedItems count="2">
        <s v="Active"/>
        <s v="Inactive"/>
      </sharedItems>
    </cacheField>
    <cacheField name="Religion" numFmtId="0">
      <sharedItems count="3">
        <s v="Muslim"/>
        <s v="Hindu "/>
        <s v="Christian"/>
      </sharedItems>
    </cacheField>
    <cacheField name="Department" numFmtId="0">
      <sharedItems count="9">
        <s v="Management"/>
        <s v="Sales"/>
        <s v="Administration"/>
        <s v="Information Technology"/>
        <s v="Finance "/>
        <s v="Human Resources"/>
        <s v="Production"/>
        <s v="Logistics"/>
        <s v="Marketing"/>
      </sharedItems>
    </cacheField>
    <cacheField name="Designation" numFmtId="0">
      <sharedItems count="9">
        <s v="President"/>
        <s v="Senior Executive"/>
        <s v="Staff"/>
        <s v="Manager"/>
        <s v="Officer"/>
        <s v="Chief Executive"/>
        <s v="Senior Manager"/>
        <s v="Senior Officer"/>
        <s v="Executive"/>
      </sharedItems>
    </cacheField>
    <cacheField name="Job Level" numFmtId="0">
      <sharedItems count="2">
        <s v="Manager"/>
        <s v="Non-Manager"/>
      </sharedItems>
    </cacheField>
    <cacheField name="Distribution Center" numFmtId="0">
      <sharedItems count="3">
        <s v="Shared Services"/>
        <s v="Frozen Food"/>
        <s v="Non-Frozen Food"/>
      </sharedItems>
    </cacheField>
    <cacheField name="Location" numFmtId="0">
      <sharedItems count="14">
        <s v="Abu Dhabi"/>
        <s v="Amman"/>
        <s v="Cairo"/>
        <s v="Dubai"/>
        <s v="Kuwait"/>
        <s v="Lagos"/>
        <s v="Kogi"/>
        <s v="Abuja"/>
        <s v="London"/>
        <s v="Riyadh"/>
        <s v="Manama"/>
        <s v="Kano"/>
        <s v="Muscat"/>
        <s v="Paris"/>
      </sharedItems>
    </cacheField>
    <cacheField name="Office Tel" numFmtId="0">
      <sharedItems count="148">
        <s v="+971 02 1846750"/>
        <s v="+962 06 1797294"/>
        <s v="+20 20 3395968"/>
        <s v="+20 20 3301080"/>
        <s v="+971 04 3212364"/>
        <s v="+971 04 4821985"/>
        <s v="+971 04 7278080"/>
        <s v="+965  7313760"/>
        <s v="+971 02 7681190"/>
        <s v="+971 04 10820359"/>
        <s v="+971 04 10899840"/>
        <s v="+971 04 10118238"/>
        <s v="+971 02 11941020"/>
        <s v="+971 04 11292195"/>
        <s v="+971 04 11572080"/>
        <s v="+971 02 10968791"/>
        <s v="+971 04 13446072"/>
        <s v="+962 06 12673114"/>
        <s v="+962 06 16294660"/>
        <s v="+962 06 15734922"/>
        <s v="+20 20 13419736"/>
        <s v="+962 06 18976978"/>
        <s v="+971 04 19264536"/>
        <s v="+962 06 13792950"/>
        <s v="+971 04 21960380"/>
        <s v="+20 20 22081248"/>
        <s v="+45 45 25290944"/>
        <s v="+962 06 22584040"/>
        <s v="+974  17546970"/>
        <s v="+20 20 27940610"/>
        <s v="+974  31999328"/>
        <s v="+962 06 30064848"/>
        <s v="+965  30736102"/>
        <s v="+45 45 19633600"/>
        <s v="+965  24864588"/>
        <s v="+20 20 33126507"/>
        <s v="+44 20 21528938"/>
        <s v="+971 04 36359934"/>
        <s v="+971 02 33255840"/>
        <s v="+971 04 28871052"/>
        <s v="+971 04 29845998"/>
        <s v="+971 02 21735640"/>
        <s v="+971 04 29126592"/>
        <s v="+966 1 27022635"/>
        <s v="+971 02 87758467"/>
        <s v="+971 04 29637018"/>
        <s v="+971 02 44915456"/>
        <s v="+971 02 42374688"/>
        <s v="+971 02 39154773"/>
        <s v="+971 04 34298300"/>
        <s v="+44 20 40167753"/>
        <s v="+973  44579860"/>
        <s v="+20 20 38756886"/>
        <s v="+971 02 37168686"/>
        <s v="+971 04 44277860"/>
        <s v="+971 02 52569048"/>
        <s v="+971 02 50233017"/>
        <s v="+973  53467822"/>
        <s v="+965  48364542"/>
        <s v="+973  58062060"/>
        <s v="+20 20 33032781"/>
        <s v="+49 89 46733306"/>
        <s v="+49 89 37538298"/>
        <s v="+971 04 59143616"/>
        <s v="+965  63541205"/>
        <s v="+968  33125796"/>
        <s v="+968  42791225"/>
        <s v="+968  49917168"/>
        <s v="+20 20 54521937"/>
        <s v="+971 02 45578330"/>
        <s v="+971 04 63107214"/>
        <s v="+971 04 68345496"/>
        <s v="+968  60257777"/>
        <s v="+33 1 68176570"/>
        <s v="+971 02 40170900"/>
        <s v="+971 04 52546324"/>
        <s v="+971 02 42974162"/>
        <s v="+971 02 41767752"/>
        <s v="+971 02 72758210"/>
        <s v="+971 02 50274880"/>
        <s v="+971 04 45241902"/>
        <s v="+971 02 52054666"/>
        <s v="+971 02 55990721"/>
        <s v="+20 20 59698632"/>
        <s v="+966 1 55177750"/>
        <s v="+966 1 65456234"/>
        <s v="+966 1 63648069"/>
        <s v="+971 02 55190256"/>
        <s v="+971 02 86673095"/>
        <s v="+966 1 65275830"/>
        <s v="+971 02 87870965"/>
        <s v="+33 1 57956964"/>
        <s v="+966 1 80837460"/>
        <s v="+971 04 49569960"/>
        <s v="+971 02 55597515"/>
        <s v="+971 04 94228992"/>
        <s v="+971 02 49593578"/>
        <s v="+971 04 85867306"/>
        <s v="+971 04 96229287"/>
        <s v="+971 04 81501200"/>
        <s v="+971 04 60278820"/>
        <s v="+20 20 81587148"/>
        <s v="+971 04 67855267"/>
        <s v="+971 02 58302712"/>
        <s v="+971 02 103688340"/>
        <s v="+971 04 77193970"/>
        <s v="+971 04 82574147"/>
        <s v="+971 02 86467716"/>
        <s v="+971 04 57946471"/>
        <s v="+971 04 68663430"/>
        <s v="+971 04 88807104"/>
        <s v="+971 02 83263488"/>
        <s v="+971 04 87283121"/>
        <s v="+971 04 84836520"/>
        <s v="+971 04 95561665"/>
        <s v="+971 04 109097536"/>
        <s v="+971 04 90470484"/>
        <s v="+971 02 96647782"/>
        <s v="+971 02 108074253"/>
        <s v="+971 04 67331160"/>
        <s v="+971 04 85121806"/>
        <s v="+971 02 121828956"/>
        <s v="+971 02 75307734"/>
        <s v="+971 04 112716248"/>
        <s v="+971 04 63634500"/>
        <s v="+971 02 93997764"/>
        <s v="+971 04 73975468"/>
        <s v="+971 02 122961280"/>
        <s v="+971 02 91307232"/>
        <s v="+971 04 100339980"/>
        <s v="+971 04 101910009"/>
        <s v="+971 02 118929360"/>
        <s v="+971 04 129888864"/>
        <s v="+971 04 72586192"/>
        <s v="+971 04 113134590"/>
        <s v="+971 04 75020728"/>
        <s v="+971 02 135836459"/>
        <s v="+971 04 137313450"/>
        <s v="+971 04 102479835"/>
        <s v="+971 04 100751000"/>
        <s v="+971 04 90049368"/>
        <s v="+971 04 82728348"/>
        <s v="+971 04 133628352"/>
        <s v="+971 02 88922016"/>
        <s v="+971 04 93593730"/>
        <s v="+971 02 83646028"/>
        <s v="+971 04 103647348"/>
        <s v="+971 04 74403152"/>
      </sharedItems>
    </cacheField>
    <cacheField name="Email" numFmtId="0">
      <sharedItems count="147">
        <s v="Lamya.Qasim@Rare.com"/>
        <s v="Ayman.Ghanem@Rare.com"/>
        <s v="Ahlam.Mutwali@Rare.com"/>
        <s v="Ghada.Shadi@Rare.com"/>
        <s v="Pamela.Rosales@Rare.com"/>
        <s v="Kamal.Jasrotia@Rare.com"/>
        <s v="Sushil.Kolangde@Rare.com"/>
        <s v="Jenefer.Sanvictores@Rare.com"/>
        <s v="Caridad.Diaz@Rare.com"/>
        <s v="Madhu.Solanki@Rare.com"/>
        <s v="Girish.Bhatia@Rare.com"/>
        <s v="Bejoy.Gangadharan@Rare.com"/>
        <s v="Andrew.Mercado@Rare.com"/>
        <s v="Krishnamurthy.Pillai@Rare.com"/>
        <s v="Zayed.Reda@Rare.com"/>
        <s v="Fernando.Segundo@Rare.com"/>
        <s v="Koushik.Bhattacharya@Rare.com"/>
        <s v="Ahlam.Rami@Rare.com"/>
        <s v="Yasmin.Abdul Hasseb@Rare.com"/>
        <s v="Alaa.Ahmed@Rare.com"/>
        <s v="Besan.Omar@Rare.com"/>
        <s v="Tahani.Shukri@Rare.com"/>
        <s v="Shaji.Pillai@Rare.com"/>
        <s v="Samya.Shukri@Rare.com"/>
        <s v="Suraj.Murthy@Rare.com"/>
        <s v="Ilyas.Rahman@Rare.com"/>
        <s v="Femi.AdeKabil@Rare.com"/>
        <s v="Jirbeel.Essa@Rare.com"/>
        <s v="Salisu.MuhammedBala@Rare.com"/>
        <s v="Omar.Mosa@Rare.com"/>
        <s v="Hadija.KamalT@Rare.com"/>
        <s v="Enas.Reda@Rare.com"/>
        <s v="Sujeet.Mitra@Rare.com"/>
        <s v="Matthew.SamPraise@Rare.com"/>
        <s v="Eswar.Babu@Rare.com"/>
        <s v="Majdi.Karim@Rare.com"/>
        <s v="Ruby.James@Rare.com"/>
        <s v="Ahmad.Jamil@Rare.com"/>
        <s v="Maher.Shafiq@Rare.com"/>
        <s v="Robbie.Williams@Rare.com"/>
        <s v="Dawood.Dahi@Rare.com"/>
        <s v="Akram.Hani@Rare.com"/>
        <s v="Ahlam.Khalid@Rare.com"/>
        <s v="Fahid.Al Zaidi@Rare.com"/>
        <s v="Samer.Ali@Rare.com"/>
        <s v="Arun.Sharma@Rare.com"/>
        <s v="Tomas.Santiago@Rare.com"/>
        <s v="Faiz.Al Kendi@Rare.com"/>
        <s v="Mohammad.Al Rumaithi@Rare.com"/>
        <s v="Jihad.Osama@Rare.com"/>
        <s v="Katie.Alexander@Rare.com"/>
        <s v="Rasha.Al Roujoob@Rare.com"/>
        <s v="Hana.Rushdi@Rare.com"/>
        <s v="Tag Al Sir.Ahmed@Rare.com"/>
        <s v="Sneha.Thakur@Rare.com"/>
        <s v="Vinod.Pillai@Rare.com"/>
        <s v="Vijay.Chouhan@Rare.com"/>
        <s v="Pradeep.Dinkar@Rare.com"/>
        <s v="Hani.Fawzi@Rare.com"/>
        <s v="Jassim.Diya@Rare.com"/>
        <s v="Majid.Shahab@Rare.com"/>
        <s v="IsmailOmeiza.Mumin@Rare.com"/>
        <s v="JenetOlawole.Titilomo@Rare.com"/>
        <s v="Hasib.Al Hamadi@Rare.com"/>
        <s v="Afif.Rezk@Rare.com"/>
        <s v="Ankur.Dhar@Rare.com"/>
        <s v="Duha.Al Zaidi@Rare.com"/>
        <s v="Yaqoub.Loyai@Rare.com"/>
        <s v="Jean.Gregorio@Rare.com"/>
        <s v="Abdul Kadir.Usman@Rare.com"/>
        <s v="Pushparaj.Shetty@Rare.com"/>
        <s v="Sivakumar.Ravichandran@Rare.com"/>
        <s v="Firas.Nasir@Rare.com"/>
        <s v="Adeline.Absolon  @Rare.com"/>
        <s v="Akram.Tahboob@Rare.com"/>
        <s v="Hari.Iyer@Rare.com"/>
        <s v="Amjad.Reda@Rare.com"/>
        <s v="Hatim.Al Blooki@Rare.com"/>
        <s v="Rasheed.Reda@Rare.com"/>
        <s v="Khalid.Bustan@Rare.com"/>
        <s v="Amit.Pathak@Rare.com"/>
        <s v="Ivan.Santos@Rare.com"/>
        <s v="Mustafa.Kamal@Rare.com"/>
        <s v="Fahim.Al Ali@Rare.com"/>
        <s v="Amjad.Waheed@Rare.com"/>
        <s v="Tahir.Walid@Rare.com"/>
        <s v="Esmail.Al Mansouri@Rare.com"/>
        <s v="Asim.Waleed@Rare.com"/>
        <s v="Humaid.Al Shamsi@Rare.com"/>
        <s v="Hussain.Al Zaabi@Rare.com"/>
        <s v="Ibrahim.Khader@Rare.com"/>
        <s v="Adrien.Alban   @Rare.com"/>
        <s v="Jaber.Hassan@Rare.com"/>
        <s v="Kamal.Ayesh@Rare.com"/>
        <s v="Nino.Montalbo@Rare.com"/>
        <s v="Indra.Singh@Rare.com"/>
        <s v="Khalifa.Al Qarni@Rare.com"/>
        <s v="Sabir.Aziz@Rare.com"/>
        <s v="Sheetal.Shetti@Rare.com"/>
        <s v="Amer.Tahboob@Rare.com"/>
        <s v="Mohammad.Mustafa@Rare.com"/>
        <s v="Maher.Zaahir@Rare.com"/>
        <s v="Rangarajan.Balaji@Rare.com"/>
        <s v="Fadi.Al Mehairbi@Rare.com"/>
        <s v="Edison .Arceo@Rare.com"/>
        <s v="Roderick.Zabala@Rare.com"/>
        <s v="Chetna.Sharma@Rare.com"/>
        <s v="Malek.Rushdi@Rare.com"/>
        <s v="Jack.Daniel@Rare.com"/>
        <s v="Rakesh.Bhatiya@Rare.com"/>
        <s v="Amrita.Chopra@Rare.com"/>
        <s v="Mamdouh.Al Azraq@Rare.com"/>
        <s v="David.Trash@Rare.com"/>
        <s v="Ronan.Gaile@Rare.com"/>
        <s v="Stephen.Peterson@Rare.com"/>
        <s v="Sunil.Tauro@Rare.com"/>
        <s v="Jay.Magboo@Rare.com"/>
        <s v="Julius.Reyes@Rare.com"/>
        <s v="Ramesh.Menon@Rare.com"/>
        <s v="Pradeep.Katoch@Rare.com"/>
        <s v="Ata ullah.Majid@Rare.com"/>
        <s v="yasser.Kamel@Rare.com"/>
        <s v="Aruna.Kondur@Rare.com"/>
        <s v="Walid.Ali@Rare.com"/>
        <s v="hosni.Shaheen@Rare.com"/>
        <s v="Ayman.Mohammad@Rare.com"/>
        <s v="Mosa.Salim@Rare.com"/>
        <s v="Salim.Al Shamsi@Rare.com"/>
        <s v="Fakhri.Mohammad@Rare.com"/>
        <s v="Rami.Al Huda@Rare.com"/>
        <s v="Raid.Mustafa@Rare.com"/>
        <s v="Raid.Zaabi@Rare.com"/>
        <s v="Tahani.Al Zaraq@Rare.com"/>
        <s v="Ali.Jabir@Rare.com"/>
        <s v="Haydar.Al Qubaisi@Rare.com"/>
        <s v="Omran.Mohammad@Rare.com"/>
        <s v="Shaheen.Saleem@Rare.com"/>
        <s v="Gorge.Essa@Rare.com"/>
        <s v="Loyai.Ibrahim@Rare.com"/>
        <s v="Saeed.Abdullah@Rare.com"/>
        <s v="Abdul Aziz.Qasim@Rare.com"/>
        <s v="Mohan.Ray@Rare.com"/>
        <s v="Robert.Aquino@Rare.com"/>
        <s v="Ali.Al Shamsi@Rare.com"/>
        <s v="hossam.Saeed@Rare.com"/>
        <s v="Mansour.Saad@Rare.com"/>
        <s v="Ahmed.Khader@Rare.com"/>
      </sharedItems>
    </cacheField>
    <cacheField name="Age_range" numFmtId="0">
      <sharedItems count="5">
        <s v="Above 63"/>
        <s v="20 - 30"/>
        <s v="42 - 52"/>
        <s v="31 - 41"/>
        <s v="53 - 63"/>
      </sharedItems>
    </cacheField>
    <cacheField name="Employee_review" numFmtId="0">
      <sharedItems count="2">
        <s v="Retrenched"/>
        <s v="In_service"/>
      </sharedItems>
    </cacheField>
  </cacheFields>
  <extLst>
    <ext xmlns:x14="http://schemas.microsoft.com/office/spreadsheetml/2009/9/main" uri="{725AE2AE-9491-48be-B2B4-4EB974FC3084}">
      <x14:pivotCacheDefinition pivotCacheId="1512350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Andhra"/>
    <s v="Pradesh"/>
    <x v="0"/>
    <x v="0"/>
    <x v="0"/>
    <x v="0"/>
    <x v="0"/>
    <x v="0"/>
    <x v="0"/>
    <x v="0"/>
    <x v="0"/>
    <x v="0"/>
    <x v="0"/>
    <x v="0"/>
    <x v="0"/>
    <x v="0"/>
  </r>
  <r>
    <x v="1"/>
    <s v="Arunachal"/>
    <s v="Pradesh"/>
    <x v="0"/>
    <x v="0"/>
    <x v="1"/>
    <x v="1"/>
    <x v="0"/>
    <x v="1"/>
    <x v="1"/>
    <x v="1"/>
    <x v="1"/>
    <x v="1"/>
    <x v="1"/>
    <x v="1"/>
    <x v="1"/>
    <x v="1"/>
  </r>
  <r>
    <x v="2"/>
    <s v="Assam"/>
    <s v="Assam"/>
    <x v="0"/>
    <x v="1"/>
    <x v="2"/>
    <x v="0"/>
    <x v="0"/>
    <x v="1"/>
    <x v="2"/>
    <x v="1"/>
    <x v="2"/>
    <x v="2"/>
    <x v="2"/>
    <x v="2"/>
    <x v="2"/>
    <x v="1"/>
  </r>
  <r>
    <x v="3"/>
    <s v="Bihar"/>
    <s v="Bihar"/>
    <x v="0"/>
    <x v="0"/>
    <x v="3"/>
    <x v="0"/>
    <x v="1"/>
    <x v="1"/>
    <x v="3"/>
    <x v="0"/>
    <x v="2"/>
    <x v="2"/>
    <x v="3"/>
    <x v="3"/>
    <x v="0"/>
    <x v="0"/>
  </r>
  <r>
    <x v="4"/>
    <s v="Chhattisgarh"/>
    <s v="Chhattisgarh"/>
    <x v="1"/>
    <x v="1"/>
    <x v="4"/>
    <x v="0"/>
    <x v="2"/>
    <x v="2"/>
    <x v="4"/>
    <x v="1"/>
    <x v="2"/>
    <x v="3"/>
    <x v="4"/>
    <x v="4"/>
    <x v="3"/>
    <x v="1"/>
  </r>
  <r>
    <x v="5"/>
    <s v="Goa"/>
    <s v="Goa"/>
    <x v="1"/>
    <x v="0"/>
    <x v="5"/>
    <x v="0"/>
    <x v="1"/>
    <x v="3"/>
    <x v="3"/>
    <x v="0"/>
    <x v="0"/>
    <x v="3"/>
    <x v="5"/>
    <x v="5"/>
    <x v="3"/>
    <x v="1"/>
  </r>
  <r>
    <x v="6"/>
    <s v="Gujarat"/>
    <s v="Gujarat"/>
    <x v="0"/>
    <x v="0"/>
    <x v="6"/>
    <x v="0"/>
    <x v="0"/>
    <x v="4"/>
    <x v="4"/>
    <x v="1"/>
    <x v="0"/>
    <x v="3"/>
    <x v="6"/>
    <x v="6"/>
    <x v="2"/>
    <x v="1"/>
  </r>
  <r>
    <x v="7"/>
    <s v="Haryana"/>
    <s v="Haryana"/>
    <x v="0"/>
    <x v="1"/>
    <x v="7"/>
    <x v="0"/>
    <x v="2"/>
    <x v="1"/>
    <x v="1"/>
    <x v="1"/>
    <x v="1"/>
    <x v="4"/>
    <x v="7"/>
    <x v="7"/>
    <x v="1"/>
    <x v="1"/>
  </r>
  <r>
    <x v="8"/>
    <s v="Himachal"/>
    <s v="Pradesh"/>
    <x v="0"/>
    <x v="0"/>
    <x v="8"/>
    <x v="1"/>
    <x v="0"/>
    <x v="5"/>
    <x v="1"/>
    <x v="1"/>
    <x v="1"/>
    <x v="0"/>
    <x v="8"/>
    <x v="8"/>
    <x v="0"/>
    <x v="0"/>
  </r>
  <r>
    <x v="9"/>
    <s v="Jammu"/>
    <s v="Kashmir"/>
    <x v="0"/>
    <x v="0"/>
    <x v="9"/>
    <x v="0"/>
    <x v="0"/>
    <x v="0"/>
    <x v="5"/>
    <x v="0"/>
    <x v="0"/>
    <x v="3"/>
    <x v="9"/>
    <x v="9"/>
    <x v="4"/>
    <x v="1"/>
  </r>
  <r>
    <x v="10"/>
    <s v="Jharkhand"/>
    <s v="Jharkhand"/>
    <x v="0"/>
    <x v="0"/>
    <x v="10"/>
    <x v="0"/>
    <x v="2"/>
    <x v="2"/>
    <x v="3"/>
    <x v="0"/>
    <x v="0"/>
    <x v="3"/>
    <x v="10"/>
    <x v="10"/>
    <x v="2"/>
    <x v="1"/>
  </r>
  <r>
    <x v="11"/>
    <s v="Karnataka"/>
    <s v="Karnataka"/>
    <x v="0"/>
    <x v="0"/>
    <x v="11"/>
    <x v="0"/>
    <x v="0"/>
    <x v="6"/>
    <x v="6"/>
    <x v="0"/>
    <x v="2"/>
    <x v="3"/>
    <x v="11"/>
    <x v="11"/>
    <x v="3"/>
    <x v="1"/>
  </r>
  <r>
    <x v="12"/>
    <s v="Kerala"/>
    <s v="Kerala"/>
    <x v="1"/>
    <x v="0"/>
    <x v="12"/>
    <x v="0"/>
    <x v="0"/>
    <x v="6"/>
    <x v="6"/>
    <x v="0"/>
    <x v="1"/>
    <x v="0"/>
    <x v="12"/>
    <x v="12"/>
    <x v="2"/>
    <x v="1"/>
  </r>
  <r>
    <x v="13"/>
    <s v="Madhya"/>
    <s v="Pradesh"/>
    <x v="1"/>
    <x v="1"/>
    <x v="5"/>
    <x v="0"/>
    <x v="0"/>
    <x v="0"/>
    <x v="0"/>
    <x v="0"/>
    <x v="0"/>
    <x v="3"/>
    <x v="13"/>
    <x v="13"/>
    <x v="3"/>
    <x v="1"/>
  </r>
  <r>
    <x v="14"/>
    <s v="Maharashtra"/>
    <s v="Maharashtra"/>
    <x v="0"/>
    <x v="0"/>
    <x v="13"/>
    <x v="0"/>
    <x v="0"/>
    <x v="4"/>
    <x v="4"/>
    <x v="1"/>
    <x v="2"/>
    <x v="3"/>
    <x v="14"/>
    <x v="14"/>
    <x v="4"/>
    <x v="1"/>
  </r>
  <r>
    <x v="15"/>
    <s v="Manipur"/>
    <s v="Manipur"/>
    <x v="0"/>
    <x v="0"/>
    <x v="1"/>
    <x v="1"/>
    <x v="0"/>
    <x v="6"/>
    <x v="3"/>
    <x v="0"/>
    <x v="1"/>
    <x v="0"/>
    <x v="15"/>
    <x v="15"/>
    <x v="1"/>
    <x v="1"/>
  </r>
  <r>
    <x v="16"/>
    <s v="Meghalaya"/>
    <s v="Meghalaya"/>
    <x v="0"/>
    <x v="0"/>
    <x v="14"/>
    <x v="0"/>
    <x v="1"/>
    <x v="2"/>
    <x v="1"/>
    <x v="1"/>
    <x v="0"/>
    <x v="3"/>
    <x v="16"/>
    <x v="16"/>
    <x v="4"/>
    <x v="1"/>
  </r>
  <r>
    <x v="17"/>
    <s v="Mizoram"/>
    <s v="Mizoram"/>
    <x v="1"/>
    <x v="0"/>
    <x v="15"/>
    <x v="0"/>
    <x v="2"/>
    <x v="1"/>
    <x v="3"/>
    <x v="0"/>
    <x v="1"/>
    <x v="1"/>
    <x v="17"/>
    <x v="17"/>
    <x v="1"/>
    <x v="1"/>
  </r>
  <r>
    <x v="18"/>
    <s v="Nagaland"/>
    <s v="Nagaland"/>
    <x v="0"/>
    <x v="0"/>
    <x v="16"/>
    <x v="0"/>
    <x v="0"/>
    <x v="1"/>
    <x v="7"/>
    <x v="1"/>
    <x v="1"/>
    <x v="1"/>
    <x v="18"/>
    <x v="18"/>
    <x v="3"/>
    <x v="1"/>
  </r>
  <r>
    <x v="19"/>
    <s v="Orissa"/>
    <s v="Orissa"/>
    <x v="0"/>
    <x v="0"/>
    <x v="17"/>
    <x v="0"/>
    <x v="0"/>
    <x v="1"/>
    <x v="8"/>
    <x v="1"/>
    <x v="1"/>
    <x v="1"/>
    <x v="19"/>
    <x v="19"/>
    <x v="4"/>
    <x v="1"/>
  </r>
  <r>
    <x v="20"/>
    <s v="Punjab"/>
    <s v="Punjab"/>
    <x v="0"/>
    <x v="0"/>
    <x v="18"/>
    <x v="0"/>
    <x v="0"/>
    <x v="1"/>
    <x v="3"/>
    <x v="0"/>
    <x v="2"/>
    <x v="2"/>
    <x v="20"/>
    <x v="20"/>
    <x v="2"/>
    <x v="1"/>
  </r>
  <r>
    <x v="21"/>
    <s v="Rajasthan"/>
    <s v="Rajasthan"/>
    <x v="1"/>
    <x v="1"/>
    <x v="19"/>
    <x v="0"/>
    <x v="2"/>
    <x v="1"/>
    <x v="1"/>
    <x v="1"/>
    <x v="1"/>
    <x v="1"/>
    <x v="21"/>
    <x v="21"/>
    <x v="2"/>
    <x v="1"/>
  </r>
  <r>
    <x v="22"/>
    <s v="Sikkim"/>
    <s v="Sikkim"/>
    <x v="1"/>
    <x v="1"/>
    <x v="8"/>
    <x v="1"/>
    <x v="0"/>
    <x v="4"/>
    <x v="1"/>
    <x v="1"/>
    <x v="2"/>
    <x v="3"/>
    <x v="22"/>
    <x v="22"/>
    <x v="0"/>
    <x v="0"/>
  </r>
  <r>
    <x v="23"/>
    <s v="Tamil"/>
    <s v="Nadu"/>
    <x v="0"/>
    <x v="1"/>
    <x v="20"/>
    <x v="0"/>
    <x v="0"/>
    <x v="1"/>
    <x v="4"/>
    <x v="1"/>
    <x v="1"/>
    <x v="1"/>
    <x v="23"/>
    <x v="23"/>
    <x v="2"/>
    <x v="1"/>
  </r>
  <r>
    <x v="24"/>
    <s v="Telangana"/>
    <s v="Telangana"/>
    <x v="1"/>
    <x v="0"/>
    <x v="21"/>
    <x v="0"/>
    <x v="0"/>
    <x v="5"/>
    <x v="1"/>
    <x v="1"/>
    <x v="2"/>
    <x v="3"/>
    <x v="24"/>
    <x v="24"/>
    <x v="4"/>
    <x v="1"/>
  </r>
  <r>
    <x v="25"/>
    <s v="Tripura"/>
    <s v="Tripura"/>
    <x v="0"/>
    <x v="1"/>
    <x v="5"/>
    <x v="0"/>
    <x v="1"/>
    <x v="1"/>
    <x v="1"/>
    <x v="1"/>
    <x v="2"/>
    <x v="2"/>
    <x v="25"/>
    <x v="25"/>
    <x v="3"/>
    <x v="1"/>
  </r>
  <r>
    <x v="26"/>
    <s v="Uttar"/>
    <s v="Pradesh"/>
    <x v="0"/>
    <x v="0"/>
    <x v="22"/>
    <x v="0"/>
    <x v="1"/>
    <x v="1"/>
    <x v="3"/>
    <x v="0"/>
    <x v="1"/>
    <x v="5"/>
    <x v="26"/>
    <x v="26"/>
    <x v="2"/>
    <x v="1"/>
  </r>
  <r>
    <x v="27"/>
    <s v="Uttarakhand"/>
    <s v="Uttarakhand"/>
    <x v="1"/>
    <x v="0"/>
    <x v="23"/>
    <x v="0"/>
    <x v="1"/>
    <x v="1"/>
    <x v="4"/>
    <x v="1"/>
    <x v="1"/>
    <x v="1"/>
    <x v="27"/>
    <x v="27"/>
    <x v="0"/>
    <x v="0"/>
  </r>
  <r>
    <x v="28"/>
    <s v="West"/>
    <s v="Bengal"/>
    <x v="0"/>
    <x v="0"/>
    <x v="24"/>
    <x v="1"/>
    <x v="1"/>
    <x v="1"/>
    <x v="8"/>
    <x v="1"/>
    <x v="1"/>
    <x v="6"/>
    <x v="28"/>
    <x v="28"/>
    <x v="4"/>
    <x v="1"/>
  </r>
  <r>
    <x v="29"/>
    <s v="Omar"/>
    <s v="Mosa"/>
    <x v="0"/>
    <x v="0"/>
    <x v="24"/>
    <x v="0"/>
    <x v="0"/>
    <x v="1"/>
    <x v="3"/>
    <x v="0"/>
    <x v="2"/>
    <x v="2"/>
    <x v="29"/>
    <x v="29"/>
    <x v="4"/>
    <x v="1"/>
  </r>
  <r>
    <x v="30"/>
    <s v="Hadija"/>
    <s v="KamalT"/>
    <x v="0"/>
    <x v="0"/>
    <x v="25"/>
    <x v="0"/>
    <x v="0"/>
    <x v="1"/>
    <x v="3"/>
    <x v="0"/>
    <x v="1"/>
    <x v="6"/>
    <x v="30"/>
    <x v="30"/>
    <x v="2"/>
    <x v="1"/>
  </r>
  <r>
    <x v="31"/>
    <s v="Enas"/>
    <s v="Reda"/>
    <x v="0"/>
    <x v="0"/>
    <x v="7"/>
    <x v="0"/>
    <x v="0"/>
    <x v="1"/>
    <x v="4"/>
    <x v="1"/>
    <x v="1"/>
    <x v="1"/>
    <x v="31"/>
    <x v="31"/>
    <x v="1"/>
    <x v="1"/>
  </r>
  <r>
    <x v="32"/>
    <s v="Sujeet"/>
    <s v="Mitra"/>
    <x v="1"/>
    <x v="0"/>
    <x v="15"/>
    <x v="0"/>
    <x v="0"/>
    <x v="1"/>
    <x v="3"/>
    <x v="0"/>
    <x v="1"/>
    <x v="4"/>
    <x v="32"/>
    <x v="32"/>
    <x v="1"/>
    <x v="1"/>
  </r>
  <r>
    <x v="33"/>
    <s v="Matthew"/>
    <s v="SamPraise"/>
    <x v="1"/>
    <x v="0"/>
    <x v="18"/>
    <x v="0"/>
    <x v="2"/>
    <x v="1"/>
    <x v="8"/>
    <x v="1"/>
    <x v="1"/>
    <x v="7"/>
    <x v="33"/>
    <x v="33"/>
    <x v="2"/>
    <x v="1"/>
  </r>
  <r>
    <x v="34"/>
    <s v="Eswar"/>
    <s v="Babu"/>
    <x v="1"/>
    <x v="0"/>
    <x v="16"/>
    <x v="0"/>
    <x v="0"/>
    <x v="1"/>
    <x v="1"/>
    <x v="1"/>
    <x v="1"/>
    <x v="4"/>
    <x v="34"/>
    <x v="34"/>
    <x v="3"/>
    <x v="1"/>
  </r>
  <r>
    <x v="35"/>
    <s v="Majdi"/>
    <s v="Karim"/>
    <x v="1"/>
    <x v="0"/>
    <x v="13"/>
    <x v="0"/>
    <x v="0"/>
    <x v="1"/>
    <x v="1"/>
    <x v="1"/>
    <x v="2"/>
    <x v="2"/>
    <x v="35"/>
    <x v="35"/>
    <x v="4"/>
    <x v="1"/>
  </r>
  <r>
    <x v="36"/>
    <s v="Ruby"/>
    <s v="James"/>
    <x v="0"/>
    <x v="0"/>
    <x v="26"/>
    <x v="0"/>
    <x v="1"/>
    <x v="1"/>
    <x v="3"/>
    <x v="0"/>
    <x v="2"/>
    <x v="8"/>
    <x v="36"/>
    <x v="36"/>
    <x v="3"/>
    <x v="1"/>
  </r>
  <r>
    <x v="37"/>
    <s v="Ahmad"/>
    <s v="Jamil"/>
    <x v="0"/>
    <x v="0"/>
    <x v="20"/>
    <x v="1"/>
    <x v="0"/>
    <x v="2"/>
    <x v="4"/>
    <x v="1"/>
    <x v="0"/>
    <x v="3"/>
    <x v="37"/>
    <x v="37"/>
    <x v="2"/>
    <x v="1"/>
  </r>
  <r>
    <x v="38"/>
    <s v="Maher"/>
    <s v="Shafiq"/>
    <x v="0"/>
    <x v="0"/>
    <x v="24"/>
    <x v="0"/>
    <x v="0"/>
    <x v="3"/>
    <x v="8"/>
    <x v="1"/>
    <x v="0"/>
    <x v="0"/>
    <x v="38"/>
    <x v="38"/>
    <x v="4"/>
    <x v="1"/>
  </r>
  <r>
    <x v="39"/>
    <s v="Robbie"/>
    <s v="Williams"/>
    <x v="0"/>
    <x v="1"/>
    <x v="27"/>
    <x v="0"/>
    <x v="2"/>
    <x v="7"/>
    <x v="3"/>
    <x v="0"/>
    <x v="1"/>
    <x v="3"/>
    <x v="39"/>
    <x v="39"/>
    <x v="1"/>
    <x v="1"/>
  </r>
  <r>
    <x v="40"/>
    <s v="Dawood"/>
    <s v="Dahi"/>
    <x v="1"/>
    <x v="0"/>
    <x v="25"/>
    <x v="0"/>
    <x v="0"/>
    <x v="0"/>
    <x v="0"/>
    <x v="0"/>
    <x v="0"/>
    <x v="3"/>
    <x v="40"/>
    <x v="40"/>
    <x v="2"/>
    <x v="1"/>
  </r>
  <r>
    <x v="41"/>
    <s v="Akram"/>
    <s v="Hani"/>
    <x v="0"/>
    <x v="0"/>
    <x v="23"/>
    <x v="0"/>
    <x v="1"/>
    <x v="6"/>
    <x v="1"/>
    <x v="1"/>
    <x v="1"/>
    <x v="0"/>
    <x v="41"/>
    <x v="41"/>
    <x v="0"/>
    <x v="0"/>
  </r>
  <r>
    <x v="42"/>
    <s v="Ahlam"/>
    <s v="Khalid"/>
    <x v="0"/>
    <x v="1"/>
    <x v="11"/>
    <x v="0"/>
    <x v="1"/>
    <x v="4"/>
    <x v="1"/>
    <x v="1"/>
    <x v="0"/>
    <x v="3"/>
    <x v="42"/>
    <x v="42"/>
    <x v="3"/>
    <x v="1"/>
  </r>
  <r>
    <x v="43"/>
    <s v="Fahid"/>
    <s v="Zaidi"/>
    <x v="0"/>
    <x v="0"/>
    <x v="20"/>
    <x v="0"/>
    <x v="0"/>
    <x v="8"/>
    <x v="8"/>
    <x v="1"/>
    <x v="1"/>
    <x v="9"/>
    <x v="43"/>
    <x v="43"/>
    <x v="2"/>
    <x v="1"/>
  </r>
  <r>
    <x v="44"/>
    <s v="Samer"/>
    <s v="Ali"/>
    <x v="1"/>
    <x v="1"/>
    <x v="18"/>
    <x v="0"/>
    <x v="2"/>
    <x v="6"/>
    <x v="4"/>
    <x v="1"/>
    <x v="1"/>
    <x v="0"/>
    <x v="44"/>
    <x v="44"/>
    <x v="2"/>
    <x v="1"/>
  </r>
  <r>
    <x v="45"/>
    <s v="Arun"/>
    <s v="Sharma"/>
    <x v="1"/>
    <x v="0"/>
    <x v="20"/>
    <x v="0"/>
    <x v="0"/>
    <x v="6"/>
    <x v="2"/>
    <x v="1"/>
    <x v="2"/>
    <x v="3"/>
    <x v="45"/>
    <x v="45"/>
    <x v="2"/>
    <x v="1"/>
  </r>
  <r>
    <x v="46"/>
    <s v="Tomas"/>
    <s v="Santiago"/>
    <x v="1"/>
    <x v="1"/>
    <x v="8"/>
    <x v="0"/>
    <x v="1"/>
    <x v="7"/>
    <x v="1"/>
    <x v="1"/>
    <x v="2"/>
    <x v="0"/>
    <x v="46"/>
    <x v="46"/>
    <x v="0"/>
    <x v="0"/>
  </r>
  <r>
    <x v="47"/>
    <s v="Faiz"/>
    <s v="Kendi"/>
    <x v="1"/>
    <x v="0"/>
    <x v="5"/>
    <x v="0"/>
    <x v="0"/>
    <x v="6"/>
    <x v="2"/>
    <x v="1"/>
    <x v="1"/>
    <x v="0"/>
    <x v="47"/>
    <x v="47"/>
    <x v="3"/>
    <x v="1"/>
  </r>
  <r>
    <x v="48"/>
    <s v="Mohammad"/>
    <s v="Rumaithi"/>
    <x v="0"/>
    <x v="0"/>
    <x v="28"/>
    <x v="0"/>
    <x v="0"/>
    <x v="6"/>
    <x v="3"/>
    <x v="0"/>
    <x v="1"/>
    <x v="0"/>
    <x v="48"/>
    <x v="48"/>
    <x v="0"/>
    <x v="0"/>
  </r>
  <r>
    <x v="49"/>
    <s v="Jihad"/>
    <s v="Osama"/>
    <x v="2"/>
    <x v="0"/>
    <x v="29"/>
    <x v="1"/>
    <x v="0"/>
    <x v="6"/>
    <x v="7"/>
    <x v="1"/>
    <x v="2"/>
    <x v="3"/>
    <x v="49"/>
    <x v="49"/>
    <x v="0"/>
    <x v="0"/>
  </r>
  <r>
    <x v="50"/>
    <s v="Katie"/>
    <s v="Alexander"/>
    <x v="0"/>
    <x v="0"/>
    <x v="13"/>
    <x v="0"/>
    <x v="0"/>
    <x v="1"/>
    <x v="8"/>
    <x v="1"/>
    <x v="2"/>
    <x v="8"/>
    <x v="50"/>
    <x v="50"/>
    <x v="4"/>
    <x v="1"/>
  </r>
  <r>
    <x v="51"/>
    <s v="Rasha"/>
    <s v="Roujoob"/>
    <x v="0"/>
    <x v="1"/>
    <x v="21"/>
    <x v="0"/>
    <x v="1"/>
    <x v="1"/>
    <x v="8"/>
    <x v="1"/>
    <x v="2"/>
    <x v="10"/>
    <x v="51"/>
    <x v="51"/>
    <x v="4"/>
    <x v="1"/>
  </r>
  <r>
    <x v="52"/>
    <s v="Hana"/>
    <s v="Rushdi"/>
    <x v="1"/>
    <x v="0"/>
    <x v="16"/>
    <x v="0"/>
    <x v="2"/>
    <x v="1"/>
    <x v="4"/>
    <x v="1"/>
    <x v="2"/>
    <x v="2"/>
    <x v="52"/>
    <x v="52"/>
    <x v="3"/>
    <x v="1"/>
  </r>
  <r>
    <x v="53"/>
    <s v="Tag"/>
    <s v="Ahmed"/>
    <x v="0"/>
    <x v="0"/>
    <x v="4"/>
    <x v="0"/>
    <x v="0"/>
    <x v="6"/>
    <x v="2"/>
    <x v="1"/>
    <x v="1"/>
    <x v="0"/>
    <x v="53"/>
    <x v="53"/>
    <x v="3"/>
    <x v="1"/>
  </r>
  <r>
    <x v="54"/>
    <s v="Sneha"/>
    <s v="Thakur"/>
    <x v="0"/>
    <x v="0"/>
    <x v="30"/>
    <x v="0"/>
    <x v="0"/>
    <x v="4"/>
    <x v="3"/>
    <x v="0"/>
    <x v="0"/>
    <x v="3"/>
    <x v="54"/>
    <x v="54"/>
    <x v="3"/>
    <x v="1"/>
  </r>
  <r>
    <x v="55"/>
    <s v="Vinod"/>
    <s v="Pillai"/>
    <x v="1"/>
    <x v="0"/>
    <x v="16"/>
    <x v="0"/>
    <x v="0"/>
    <x v="6"/>
    <x v="2"/>
    <x v="1"/>
    <x v="1"/>
    <x v="0"/>
    <x v="55"/>
    <x v="55"/>
    <x v="3"/>
    <x v="1"/>
  </r>
  <r>
    <x v="56"/>
    <s v="Vijay"/>
    <s v="Chouhan"/>
    <x v="1"/>
    <x v="0"/>
    <x v="7"/>
    <x v="0"/>
    <x v="0"/>
    <x v="2"/>
    <x v="1"/>
    <x v="1"/>
    <x v="1"/>
    <x v="0"/>
    <x v="56"/>
    <x v="56"/>
    <x v="1"/>
    <x v="1"/>
  </r>
  <r>
    <x v="57"/>
    <s v="Pradeep"/>
    <s v="Dinkar"/>
    <x v="0"/>
    <x v="0"/>
    <x v="31"/>
    <x v="0"/>
    <x v="0"/>
    <x v="1"/>
    <x v="3"/>
    <x v="0"/>
    <x v="2"/>
    <x v="10"/>
    <x v="57"/>
    <x v="57"/>
    <x v="3"/>
    <x v="1"/>
  </r>
  <r>
    <x v="58"/>
    <s v="Hani"/>
    <s v="Fawzi"/>
    <x v="1"/>
    <x v="0"/>
    <x v="25"/>
    <x v="0"/>
    <x v="0"/>
    <x v="1"/>
    <x v="7"/>
    <x v="1"/>
    <x v="2"/>
    <x v="4"/>
    <x v="58"/>
    <x v="58"/>
    <x v="2"/>
    <x v="1"/>
  </r>
  <r>
    <x v="59"/>
    <s v="Jassim"/>
    <s v="Diya"/>
    <x v="0"/>
    <x v="0"/>
    <x v="32"/>
    <x v="0"/>
    <x v="0"/>
    <x v="1"/>
    <x v="8"/>
    <x v="1"/>
    <x v="2"/>
    <x v="10"/>
    <x v="59"/>
    <x v="59"/>
    <x v="3"/>
    <x v="1"/>
  </r>
  <r>
    <x v="60"/>
    <s v="Majid"/>
    <s v="Shahab"/>
    <x v="0"/>
    <x v="0"/>
    <x v="31"/>
    <x v="0"/>
    <x v="0"/>
    <x v="1"/>
    <x v="7"/>
    <x v="1"/>
    <x v="2"/>
    <x v="2"/>
    <x v="60"/>
    <x v="60"/>
    <x v="3"/>
    <x v="1"/>
  </r>
  <r>
    <x v="61"/>
    <s v="IsmailOmeiza"/>
    <s v="Mumin"/>
    <x v="0"/>
    <x v="0"/>
    <x v="19"/>
    <x v="1"/>
    <x v="0"/>
    <x v="1"/>
    <x v="3"/>
    <x v="0"/>
    <x v="2"/>
    <x v="7"/>
    <x v="61"/>
    <x v="61"/>
    <x v="2"/>
    <x v="1"/>
  </r>
  <r>
    <x v="62"/>
    <s v="JenetOlawole"/>
    <s v="Titilomo"/>
    <x v="0"/>
    <x v="0"/>
    <x v="22"/>
    <x v="0"/>
    <x v="2"/>
    <x v="1"/>
    <x v="8"/>
    <x v="1"/>
    <x v="2"/>
    <x v="11"/>
    <x v="62"/>
    <x v="62"/>
    <x v="2"/>
    <x v="1"/>
  </r>
  <r>
    <x v="63"/>
    <s v="Hasib"/>
    <s v="Hamadi"/>
    <x v="0"/>
    <x v="0"/>
    <x v="6"/>
    <x v="0"/>
    <x v="0"/>
    <x v="7"/>
    <x v="7"/>
    <x v="1"/>
    <x v="2"/>
    <x v="3"/>
    <x v="63"/>
    <x v="63"/>
    <x v="2"/>
    <x v="1"/>
  </r>
  <r>
    <x v="64"/>
    <s v="Afif"/>
    <s v="Rezk"/>
    <x v="1"/>
    <x v="1"/>
    <x v="2"/>
    <x v="0"/>
    <x v="0"/>
    <x v="1"/>
    <x v="7"/>
    <x v="1"/>
    <x v="2"/>
    <x v="4"/>
    <x v="64"/>
    <x v="64"/>
    <x v="2"/>
    <x v="1"/>
  </r>
  <r>
    <x v="65"/>
    <s v="Ankur"/>
    <s v="Dhar"/>
    <x v="0"/>
    <x v="0"/>
    <x v="27"/>
    <x v="0"/>
    <x v="2"/>
    <x v="1"/>
    <x v="3"/>
    <x v="0"/>
    <x v="2"/>
    <x v="12"/>
    <x v="65"/>
    <x v="65"/>
    <x v="1"/>
    <x v="1"/>
  </r>
  <r>
    <x v="66"/>
    <s v="Duha"/>
    <s v="Zaidi"/>
    <x v="1"/>
    <x v="1"/>
    <x v="4"/>
    <x v="0"/>
    <x v="2"/>
    <x v="1"/>
    <x v="8"/>
    <x v="1"/>
    <x v="2"/>
    <x v="12"/>
    <x v="66"/>
    <x v="66"/>
    <x v="3"/>
    <x v="1"/>
  </r>
  <r>
    <x v="67"/>
    <s v="Yaqoub"/>
    <s v="Loyai"/>
    <x v="0"/>
    <x v="0"/>
    <x v="33"/>
    <x v="0"/>
    <x v="0"/>
    <x v="1"/>
    <x v="8"/>
    <x v="1"/>
    <x v="2"/>
    <x v="12"/>
    <x v="67"/>
    <x v="67"/>
    <x v="4"/>
    <x v="1"/>
  </r>
  <r>
    <x v="68"/>
    <s v="Jean"/>
    <s v="Gregorio"/>
    <x v="0"/>
    <x v="0"/>
    <x v="15"/>
    <x v="0"/>
    <x v="0"/>
    <x v="8"/>
    <x v="1"/>
    <x v="1"/>
    <x v="2"/>
    <x v="2"/>
    <x v="68"/>
    <x v="68"/>
    <x v="1"/>
    <x v="1"/>
  </r>
  <r>
    <x v="69"/>
    <s v="Abdul"/>
    <s v="Usman"/>
    <x v="1"/>
    <x v="1"/>
    <x v="7"/>
    <x v="0"/>
    <x v="2"/>
    <x v="4"/>
    <x v="3"/>
    <x v="0"/>
    <x v="1"/>
    <x v="0"/>
    <x v="69"/>
    <x v="69"/>
    <x v="1"/>
    <x v="1"/>
  </r>
  <r>
    <x v="70"/>
    <s v="Pushparaj"/>
    <s v="Shetty"/>
    <x v="0"/>
    <x v="0"/>
    <x v="5"/>
    <x v="0"/>
    <x v="0"/>
    <x v="1"/>
    <x v="7"/>
    <x v="1"/>
    <x v="2"/>
    <x v="3"/>
    <x v="70"/>
    <x v="70"/>
    <x v="3"/>
    <x v="1"/>
  </r>
  <r>
    <x v="71"/>
    <s v="Sivakumar"/>
    <s v="Ravichandran"/>
    <x v="0"/>
    <x v="0"/>
    <x v="34"/>
    <x v="0"/>
    <x v="0"/>
    <x v="1"/>
    <x v="4"/>
    <x v="1"/>
    <x v="2"/>
    <x v="3"/>
    <x v="71"/>
    <x v="71"/>
    <x v="1"/>
    <x v="1"/>
  </r>
  <r>
    <x v="72"/>
    <s v="Firas"/>
    <s v="Nasir"/>
    <x v="1"/>
    <x v="0"/>
    <x v="35"/>
    <x v="0"/>
    <x v="0"/>
    <x v="1"/>
    <x v="8"/>
    <x v="1"/>
    <x v="2"/>
    <x v="12"/>
    <x v="72"/>
    <x v="72"/>
    <x v="3"/>
    <x v="1"/>
  </r>
  <r>
    <x v="73"/>
    <s v="Adeline"/>
    <s v="Absolon"/>
    <x v="1"/>
    <x v="0"/>
    <x v="36"/>
    <x v="0"/>
    <x v="1"/>
    <x v="1"/>
    <x v="3"/>
    <x v="0"/>
    <x v="2"/>
    <x v="13"/>
    <x v="73"/>
    <x v="73"/>
    <x v="4"/>
    <x v="1"/>
  </r>
  <r>
    <x v="74"/>
    <s v="Akram"/>
    <s v="Tahboob"/>
    <x v="0"/>
    <x v="0"/>
    <x v="28"/>
    <x v="0"/>
    <x v="0"/>
    <x v="1"/>
    <x v="8"/>
    <x v="1"/>
    <x v="1"/>
    <x v="0"/>
    <x v="74"/>
    <x v="74"/>
    <x v="0"/>
    <x v="0"/>
  </r>
  <r>
    <x v="75"/>
    <s v="Hari"/>
    <s v="Iyer"/>
    <x v="0"/>
    <x v="0"/>
    <x v="16"/>
    <x v="0"/>
    <x v="2"/>
    <x v="8"/>
    <x v="7"/>
    <x v="1"/>
    <x v="0"/>
    <x v="3"/>
    <x v="75"/>
    <x v="75"/>
    <x v="3"/>
    <x v="1"/>
  </r>
  <r>
    <x v="76"/>
    <s v="Amjad"/>
    <s v="Reda"/>
    <x v="1"/>
    <x v="0"/>
    <x v="9"/>
    <x v="0"/>
    <x v="2"/>
    <x v="6"/>
    <x v="1"/>
    <x v="1"/>
    <x v="1"/>
    <x v="0"/>
    <x v="76"/>
    <x v="76"/>
    <x v="4"/>
    <x v="1"/>
  </r>
  <r>
    <x v="77"/>
    <s v="Hatim"/>
    <s v="Blooki"/>
    <x v="1"/>
    <x v="1"/>
    <x v="37"/>
    <x v="0"/>
    <x v="1"/>
    <x v="6"/>
    <x v="2"/>
    <x v="1"/>
    <x v="1"/>
    <x v="0"/>
    <x v="77"/>
    <x v="77"/>
    <x v="3"/>
    <x v="1"/>
  </r>
  <r>
    <x v="78"/>
    <s v="Rasheed"/>
    <s v="Reda"/>
    <x v="0"/>
    <x v="0"/>
    <x v="18"/>
    <x v="0"/>
    <x v="0"/>
    <x v="1"/>
    <x v="1"/>
    <x v="1"/>
    <x v="1"/>
    <x v="0"/>
    <x v="78"/>
    <x v="78"/>
    <x v="2"/>
    <x v="1"/>
  </r>
  <r>
    <x v="79"/>
    <s v="Khalid"/>
    <s v="Bustan"/>
    <x v="0"/>
    <x v="0"/>
    <x v="14"/>
    <x v="0"/>
    <x v="2"/>
    <x v="6"/>
    <x v="2"/>
    <x v="1"/>
    <x v="1"/>
    <x v="0"/>
    <x v="79"/>
    <x v="79"/>
    <x v="4"/>
    <x v="1"/>
  </r>
  <r>
    <x v="80"/>
    <s v="Amit"/>
    <s v="Pathak"/>
    <x v="1"/>
    <x v="0"/>
    <x v="6"/>
    <x v="0"/>
    <x v="2"/>
    <x v="8"/>
    <x v="3"/>
    <x v="0"/>
    <x v="0"/>
    <x v="3"/>
    <x v="80"/>
    <x v="80"/>
    <x v="2"/>
    <x v="1"/>
  </r>
  <r>
    <x v="81"/>
    <s v="Ivan"/>
    <s v="Santos"/>
    <x v="2"/>
    <x v="1"/>
    <x v="38"/>
    <x v="0"/>
    <x v="2"/>
    <x v="6"/>
    <x v="2"/>
    <x v="1"/>
    <x v="1"/>
    <x v="0"/>
    <x v="81"/>
    <x v="81"/>
    <x v="3"/>
    <x v="1"/>
  </r>
  <r>
    <x v="82"/>
    <s v="Mustafa"/>
    <s v="Kamal"/>
    <x v="0"/>
    <x v="0"/>
    <x v="36"/>
    <x v="0"/>
    <x v="0"/>
    <x v="4"/>
    <x v="1"/>
    <x v="1"/>
    <x v="1"/>
    <x v="0"/>
    <x v="82"/>
    <x v="82"/>
    <x v="4"/>
    <x v="1"/>
  </r>
  <r>
    <x v="83"/>
    <s v="Fahim"/>
    <s v="Ali"/>
    <x v="1"/>
    <x v="0"/>
    <x v="39"/>
    <x v="0"/>
    <x v="0"/>
    <x v="1"/>
    <x v="7"/>
    <x v="1"/>
    <x v="2"/>
    <x v="2"/>
    <x v="83"/>
    <x v="83"/>
    <x v="2"/>
    <x v="1"/>
  </r>
  <r>
    <x v="84"/>
    <s v="Amjad"/>
    <s v="Waheed"/>
    <x v="0"/>
    <x v="0"/>
    <x v="2"/>
    <x v="0"/>
    <x v="2"/>
    <x v="1"/>
    <x v="2"/>
    <x v="1"/>
    <x v="1"/>
    <x v="9"/>
    <x v="84"/>
    <x v="84"/>
    <x v="2"/>
    <x v="1"/>
  </r>
  <r>
    <x v="85"/>
    <s v="Tahir"/>
    <s v="Walid"/>
    <x v="1"/>
    <x v="0"/>
    <x v="20"/>
    <x v="0"/>
    <x v="2"/>
    <x v="1"/>
    <x v="8"/>
    <x v="1"/>
    <x v="1"/>
    <x v="9"/>
    <x v="85"/>
    <x v="85"/>
    <x v="2"/>
    <x v="1"/>
  </r>
  <r>
    <x v="86"/>
    <s v="Esmail"/>
    <s v="Mansouri"/>
    <x v="0"/>
    <x v="0"/>
    <x v="5"/>
    <x v="0"/>
    <x v="0"/>
    <x v="1"/>
    <x v="1"/>
    <x v="1"/>
    <x v="1"/>
    <x v="9"/>
    <x v="86"/>
    <x v="86"/>
    <x v="3"/>
    <x v="1"/>
  </r>
  <r>
    <x v="87"/>
    <s v="Asim"/>
    <s v="Waleed"/>
    <x v="1"/>
    <x v="0"/>
    <x v="32"/>
    <x v="0"/>
    <x v="1"/>
    <x v="1"/>
    <x v="8"/>
    <x v="1"/>
    <x v="1"/>
    <x v="0"/>
    <x v="87"/>
    <x v="87"/>
    <x v="3"/>
    <x v="1"/>
  </r>
  <r>
    <x v="88"/>
    <s v="Humaid"/>
    <s v="Shamsi"/>
    <x v="1"/>
    <x v="0"/>
    <x v="10"/>
    <x v="0"/>
    <x v="2"/>
    <x v="1"/>
    <x v="8"/>
    <x v="1"/>
    <x v="1"/>
    <x v="0"/>
    <x v="88"/>
    <x v="88"/>
    <x v="2"/>
    <x v="1"/>
  </r>
  <r>
    <x v="89"/>
    <s v="Hussain"/>
    <s v="Zaabi"/>
    <x v="1"/>
    <x v="0"/>
    <x v="4"/>
    <x v="0"/>
    <x v="2"/>
    <x v="1"/>
    <x v="2"/>
    <x v="1"/>
    <x v="1"/>
    <x v="9"/>
    <x v="89"/>
    <x v="89"/>
    <x v="3"/>
    <x v="1"/>
  </r>
  <r>
    <x v="90"/>
    <s v="Ibrahim"/>
    <s v="Khader"/>
    <x v="0"/>
    <x v="0"/>
    <x v="40"/>
    <x v="0"/>
    <x v="1"/>
    <x v="1"/>
    <x v="8"/>
    <x v="1"/>
    <x v="1"/>
    <x v="0"/>
    <x v="90"/>
    <x v="90"/>
    <x v="4"/>
    <x v="1"/>
  </r>
  <r>
    <x v="91"/>
    <s v="Adrien"/>
    <s v="Alban"/>
    <x v="0"/>
    <x v="0"/>
    <x v="18"/>
    <x v="0"/>
    <x v="1"/>
    <x v="1"/>
    <x v="8"/>
    <x v="1"/>
    <x v="2"/>
    <x v="13"/>
    <x v="91"/>
    <x v="91"/>
    <x v="2"/>
    <x v="1"/>
  </r>
  <r>
    <x v="92"/>
    <s v="Jaber"/>
    <s v="Hassan"/>
    <x v="1"/>
    <x v="0"/>
    <x v="27"/>
    <x v="0"/>
    <x v="0"/>
    <x v="1"/>
    <x v="7"/>
    <x v="1"/>
    <x v="1"/>
    <x v="9"/>
    <x v="92"/>
    <x v="92"/>
    <x v="1"/>
    <x v="1"/>
  </r>
  <r>
    <x v="93"/>
    <s v="Kamal"/>
    <s v="Ayesh"/>
    <x v="0"/>
    <x v="0"/>
    <x v="25"/>
    <x v="0"/>
    <x v="0"/>
    <x v="8"/>
    <x v="7"/>
    <x v="1"/>
    <x v="0"/>
    <x v="3"/>
    <x v="93"/>
    <x v="93"/>
    <x v="2"/>
    <x v="1"/>
  </r>
  <r>
    <x v="94"/>
    <s v="Nino"/>
    <s v="Montalbo"/>
    <x v="1"/>
    <x v="1"/>
    <x v="30"/>
    <x v="0"/>
    <x v="0"/>
    <x v="6"/>
    <x v="7"/>
    <x v="1"/>
    <x v="1"/>
    <x v="0"/>
    <x v="94"/>
    <x v="94"/>
    <x v="3"/>
    <x v="1"/>
  </r>
  <r>
    <x v="95"/>
    <s v="Indra"/>
    <s v="Singh"/>
    <x v="1"/>
    <x v="0"/>
    <x v="10"/>
    <x v="0"/>
    <x v="0"/>
    <x v="1"/>
    <x v="4"/>
    <x v="1"/>
    <x v="2"/>
    <x v="3"/>
    <x v="95"/>
    <x v="95"/>
    <x v="2"/>
    <x v="1"/>
  </r>
  <r>
    <x v="96"/>
    <s v="Khalifa"/>
    <s v="Qarni"/>
    <x v="0"/>
    <x v="0"/>
    <x v="41"/>
    <x v="0"/>
    <x v="0"/>
    <x v="6"/>
    <x v="2"/>
    <x v="1"/>
    <x v="1"/>
    <x v="0"/>
    <x v="96"/>
    <x v="96"/>
    <x v="2"/>
    <x v="1"/>
  </r>
  <r>
    <x v="97"/>
    <s v="Sabir"/>
    <s v="Aziz"/>
    <x v="1"/>
    <x v="0"/>
    <x v="42"/>
    <x v="0"/>
    <x v="0"/>
    <x v="6"/>
    <x v="7"/>
    <x v="1"/>
    <x v="2"/>
    <x v="3"/>
    <x v="97"/>
    <x v="97"/>
    <x v="4"/>
    <x v="1"/>
  </r>
  <r>
    <x v="98"/>
    <s v="Sheetal"/>
    <s v="Shetti"/>
    <x v="0"/>
    <x v="0"/>
    <x v="10"/>
    <x v="0"/>
    <x v="0"/>
    <x v="1"/>
    <x v="1"/>
    <x v="1"/>
    <x v="2"/>
    <x v="3"/>
    <x v="98"/>
    <x v="98"/>
    <x v="2"/>
    <x v="1"/>
  </r>
  <r>
    <x v="99"/>
    <s v="Amer"/>
    <s v="Tahboob"/>
    <x v="0"/>
    <x v="0"/>
    <x v="13"/>
    <x v="0"/>
    <x v="0"/>
    <x v="6"/>
    <x v="1"/>
    <x v="1"/>
    <x v="2"/>
    <x v="3"/>
    <x v="99"/>
    <x v="99"/>
    <x v="4"/>
    <x v="1"/>
  </r>
  <r>
    <x v="100"/>
    <s v="Mohammad"/>
    <s v="Mustafa"/>
    <x v="0"/>
    <x v="0"/>
    <x v="9"/>
    <x v="0"/>
    <x v="0"/>
    <x v="6"/>
    <x v="3"/>
    <x v="0"/>
    <x v="2"/>
    <x v="3"/>
    <x v="100"/>
    <x v="100"/>
    <x v="4"/>
    <x v="1"/>
  </r>
  <r>
    <x v="101"/>
    <s v="Maher"/>
    <s v="Zaahir"/>
    <x v="0"/>
    <x v="0"/>
    <x v="41"/>
    <x v="0"/>
    <x v="2"/>
    <x v="1"/>
    <x v="7"/>
    <x v="1"/>
    <x v="2"/>
    <x v="2"/>
    <x v="101"/>
    <x v="101"/>
    <x v="2"/>
    <x v="1"/>
  </r>
  <r>
    <x v="102"/>
    <s v="Rangarajan"/>
    <s v="Balaji"/>
    <x v="0"/>
    <x v="0"/>
    <x v="27"/>
    <x v="0"/>
    <x v="0"/>
    <x v="1"/>
    <x v="4"/>
    <x v="1"/>
    <x v="2"/>
    <x v="3"/>
    <x v="102"/>
    <x v="102"/>
    <x v="1"/>
    <x v="1"/>
  </r>
  <r>
    <x v="103"/>
    <s v="Fadi"/>
    <s v="Mehairbi"/>
    <x v="0"/>
    <x v="0"/>
    <x v="40"/>
    <x v="0"/>
    <x v="0"/>
    <x v="6"/>
    <x v="7"/>
    <x v="1"/>
    <x v="1"/>
    <x v="0"/>
    <x v="103"/>
    <x v="103"/>
    <x v="4"/>
    <x v="1"/>
  </r>
  <r>
    <x v="104"/>
    <s v="Edison"/>
    <s v="Arceo"/>
    <x v="0"/>
    <x v="1"/>
    <x v="27"/>
    <x v="0"/>
    <x v="0"/>
    <x v="6"/>
    <x v="2"/>
    <x v="1"/>
    <x v="1"/>
    <x v="0"/>
    <x v="104"/>
    <x v="104"/>
    <x v="1"/>
    <x v="1"/>
  </r>
  <r>
    <x v="105"/>
    <s v="Roderick"/>
    <s v="Zabala"/>
    <x v="0"/>
    <x v="0"/>
    <x v="29"/>
    <x v="0"/>
    <x v="0"/>
    <x v="7"/>
    <x v="4"/>
    <x v="1"/>
    <x v="2"/>
    <x v="3"/>
    <x v="105"/>
    <x v="105"/>
    <x v="0"/>
    <x v="0"/>
  </r>
  <r>
    <x v="106"/>
    <s v="Chetna"/>
    <s v="Sharma"/>
    <x v="0"/>
    <x v="0"/>
    <x v="20"/>
    <x v="0"/>
    <x v="0"/>
    <x v="6"/>
    <x v="3"/>
    <x v="0"/>
    <x v="2"/>
    <x v="3"/>
    <x v="106"/>
    <x v="106"/>
    <x v="2"/>
    <x v="1"/>
  </r>
  <r>
    <x v="107"/>
    <s v="Malek"/>
    <s v="Rushdi"/>
    <x v="1"/>
    <x v="0"/>
    <x v="16"/>
    <x v="0"/>
    <x v="0"/>
    <x v="6"/>
    <x v="2"/>
    <x v="1"/>
    <x v="1"/>
    <x v="0"/>
    <x v="107"/>
    <x v="107"/>
    <x v="3"/>
    <x v="1"/>
  </r>
  <r>
    <x v="108"/>
    <s v="Jack"/>
    <s v="Daniel"/>
    <x v="0"/>
    <x v="0"/>
    <x v="20"/>
    <x v="0"/>
    <x v="0"/>
    <x v="6"/>
    <x v="7"/>
    <x v="1"/>
    <x v="2"/>
    <x v="3"/>
    <x v="108"/>
    <x v="108"/>
    <x v="2"/>
    <x v="1"/>
  </r>
  <r>
    <x v="109"/>
    <s v="Rakesh"/>
    <s v="Bhatiya"/>
    <x v="1"/>
    <x v="0"/>
    <x v="22"/>
    <x v="0"/>
    <x v="2"/>
    <x v="6"/>
    <x v="2"/>
    <x v="1"/>
    <x v="2"/>
    <x v="3"/>
    <x v="109"/>
    <x v="109"/>
    <x v="2"/>
    <x v="1"/>
  </r>
  <r>
    <x v="110"/>
    <s v="Amrita"/>
    <s v="Chopra"/>
    <x v="1"/>
    <x v="0"/>
    <x v="43"/>
    <x v="0"/>
    <x v="0"/>
    <x v="6"/>
    <x v="2"/>
    <x v="1"/>
    <x v="2"/>
    <x v="3"/>
    <x v="110"/>
    <x v="110"/>
    <x v="1"/>
    <x v="1"/>
  </r>
  <r>
    <x v="111"/>
    <s v="Mamdouh"/>
    <s v="Azraq"/>
    <x v="1"/>
    <x v="0"/>
    <x v="1"/>
    <x v="0"/>
    <x v="0"/>
    <x v="6"/>
    <x v="4"/>
    <x v="1"/>
    <x v="1"/>
    <x v="0"/>
    <x v="111"/>
    <x v="111"/>
    <x v="1"/>
    <x v="1"/>
  </r>
  <r>
    <x v="112"/>
    <s v="David"/>
    <s v="Trash"/>
    <x v="1"/>
    <x v="0"/>
    <x v="22"/>
    <x v="0"/>
    <x v="0"/>
    <x v="7"/>
    <x v="4"/>
    <x v="1"/>
    <x v="1"/>
    <x v="3"/>
    <x v="112"/>
    <x v="112"/>
    <x v="2"/>
    <x v="1"/>
  </r>
  <r>
    <x v="113"/>
    <s v="Ronan"/>
    <s v="Gaile"/>
    <x v="1"/>
    <x v="1"/>
    <x v="42"/>
    <x v="0"/>
    <x v="0"/>
    <x v="6"/>
    <x v="7"/>
    <x v="1"/>
    <x v="2"/>
    <x v="3"/>
    <x v="113"/>
    <x v="113"/>
    <x v="4"/>
    <x v="1"/>
  </r>
  <r>
    <x v="114"/>
    <s v="Stephen"/>
    <s v="Peterson"/>
    <x v="1"/>
    <x v="0"/>
    <x v="41"/>
    <x v="0"/>
    <x v="2"/>
    <x v="6"/>
    <x v="2"/>
    <x v="1"/>
    <x v="2"/>
    <x v="3"/>
    <x v="114"/>
    <x v="114"/>
    <x v="2"/>
    <x v="1"/>
  </r>
  <r>
    <x v="115"/>
    <s v="Fernando"/>
    <s v="Segundo"/>
    <x v="1"/>
    <x v="0"/>
    <x v="15"/>
    <x v="0"/>
    <x v="0"/>
    <x v="7"/>
    <x v="4"/>
    <x v="1"/>
    <x v="1"/>
    <x v="3"/>
    <x v="115"/>
    <x v="15"/>
    <x v="1"/>
    <x v="1"/>
  </r>
  <r>
    <x v="116"/>
    <s v="Sunil"/>
    <s v="Tauro"/>
    <x v="1"/>
    <x v="0"/>
    <x v="36"/>
    <x v="0"/>
    <x v="0"/>
    <x v="6"/>
    <x v="2"/>
    <x v="1"/>
    <x v="2"/>
    <x v="3"/>
    <x v="116"/>
    <x v="115"/>
    <x v="4"/>
    <x v="1"/>
  </r>
  <r>
    <x v="117"/>
    <s v="Jay"/>
    <s v="Magboo"/>
    <x v="1"/>
    <x v="0"/>
    <x v="35"/>
    <x v="0"/>
    <x v="0"/>
    <x v="6"/>
    <x v="4"/>
    <x v="1"/>
    <x v="1"/>
    <x v="0"/>
    <x v="117"/>
    <x v="116"/>
    <x v="3"/>
    <x v="1"/>
  </r>
  <r>
    <x v="118"/>
    <s v="Julius"/>
    <s v="Reyes"/>
    <x v="0"/>
    <x v="0"/>
    <x v="3"/>
    <x v="0"/>
    <x v="0"/>
    <x v="6"/>
    <x v="2"/>
    <x v="1"/>
    <x v="1"/>
    <x v="0"/>
    <x v="118"/>
    <x v="117"/>
    <x v="0"/>
    <x v="0"/>
  </r>
  <r>
    <x v="119"/>
    <s v="Ramesh"/>
    <s v="Menon"/>
    <x v="1"/>
    <x v="0"/>
    <x v="24"/>
    <x v="0"/>
    <x v="0"/>
    <x v="6"/>
    <x v="2"/>
    <x v="1"/>
    <x v="2"/>
    <x v="3"/>
    <x v="119"/>
    <x v="118"/>
    <x v="4"/>
    <x v="1"/>
  </r>
  <r>
    <x v="120"/>
    <s v="Pradeep"/>
    <s v="Katoch"/>
    <x v="1"/>
    <x v="0"/>
    <x v="33"/>
    <x v="0"/>
    <x v="0"/>
    <x v="6"/>
    <x v="4"/>
    <x v="1"/>
    <x v="2"/>
    <x v="3"/>
    <x v="120"/>
    <x v="119"/>
    <x v="4"/>
    <x v="1"/>
  </r>
  <r>
    <x v="121"/>
    <s v="Ata"/>
    <s v="Majid"/>
    <x v="0"/>
    <x v="0"/>
    <x v="15"/>
    <x v="0"/>
    <x v="0"/>
    <x v="7"/>
    <x v="4"/>
    <x v="1"/>
    <x v="1"/>
    <x v="0"/>
    <x v="121"/>
    <x v="120"/>
    <x v="1"/>
    <x v="1"/>
  </r>
  <r>
    <x v="122"/>
    <s v="yasser"/>
    <s v="Kamel"/>
    <x v="2"/>
    <x v="0"/>
    <x v="26"/>
    <x v="0"/>
    <x v="2"/>
    <x v="6"/>
    <x v="4"/>
    <x v="1"/>
    <x v="1"/>
    <x v="0"/>
    <x v="122"/>
    <x v="121"/>
    <x v="3"/>
    <x v="1"/>
  </r>
  <r>
    <x v="123"/>
    <s v="Aruna"/>
    <s v="Kondur"/>
    <x v="0"/>
    <x v="0"/>
    <x v="34"/>
    <x v="0"/>
    <x v="2"/>
    <x v="6"/>
    <x v="2"/>
    <x v="1"/>
    <x v="2"/>
    <x v="3"/>
    <x v="123"/>
    <x v="122"/>
    <x v="1"/>
    <x v="1"/>
  </r>
  <r>
    <x v="124"/>
    <s v="Walid"/>
    <s v="Ali"/>
    <x v="0"/>
    <x v="1"/>
    <x v="22"/>
    <x v="0"/>
    <x v="2"/>
    <x v="6"/>
    <x v="2"/>
    <x v="1"/>
    <x v="2"/>
    <x v="3"/>
    <x v="124"/>
    <x v="123"/>
    <x v="2"/>
    <x v="1"/>
  </r>
  <r>
    <x v="125"/>
    <s v="hosni"/>
    <s v="Shaheen"/>
    <x v="0"/>
    <x v="0"/>
    <x v="43"/>
    <x v="0"/>
    <x v="2"/>
    <x v="7"/>
    <x v="4"/>
    <x v="1"/>
    <x v="1"/>
    <x v="0"/>
    <x v="125"/>
    <x v="124"/>
    <x v="1"/>
    <x v="1"/>
  </r>
  <r>
    <x v="126"/>
    <s v="Ayman"/>
    <s v="Mohammad"/>
    <x v="0"/>
    <x v="1"/>
    <x v="10"/>
    <x v="0"/>
    <x v="2"/>
    <x v="6"/>
    <x v="2"/>
    <x v="1"/>
    <x v="2"/>
    <x v="3"/>
    <x v="126"/>
    <x v="125"/>
    <x v="2"/>
    <x v="1"/>
  </r>
  <r>
    <x v="127"/>
    <s v="Mosa"/>
    <s v="Salim"/>
    <x v="0"/>
    <x v="1"/>
    <x v="26"/>
    <x v="0"/>
    <x v="2"/>
    <x v="6"/>
    <x v="2"/>
    <x v="1"/>
    <x v="1"/>
    <x v="0"/>
    <x v="127"/>
    <x v="126"/>
    <x v="3"/>
    <x v="1"/>
  </r>
  <r>
    <x v="128"/>
    <s v="Salim"/>
    <s v="Shamsi"/>
    <x v="0"/>
    <x v="1"/>
    <x v="7"/>
    <x v="0"/>
    <x v="2"/>
    <x v="7"/>
    <x v="4"/>
    <x v="1"/>
    <x v="1"/>
    <x v="0"/>
    <x v="128"/>
    <x v="127"/>
    <x v="1"/>
    <x v="1"/>
  </r>
  <r>
    <x v="129"/>
    <s v="Fakhri"/>
    <s v="Mohammad"/>
    <x v="0"/>
    <x v="1"/>
    <x v="9"/>
    <x v="0"/>
    <x v="2"/>
    <x v="6"/>
    <x v="4"/>
    <x v="1"/>
    <x v="2"/>
    <x v="3"/>
    <x v="129"/>
    <x v="128"/>
    <x v="4"/>
    <x v="1"/>
  </r>
  <r>
    <x v="130"/>
    <s v="Rami"/>
    <s v="Huda"/>
    <x v="1"/>
    <x v="0"/>
    <x v="44"/>
    <x v="0"/>
    <x v="0"/>
    <x v="6"/>
    <x v="2"/>
    <x v="1"/>
    <x v="2"/>
    <x v="3"/>
    <x v="130"/>
    <x v="129"/>
    <x v="4"/>
    <x v="1"/>
  </r>
  <r>
    <x v="131"/>
    <s v="Raid"/>
    <s v="Mustafa"/>
    <x v="1"/>
    <x v="0"/>
    <x v="43"/>
    <x v="0"/>
    <x v="0"/>
    <x v="6"/>
    <x v="4"/>
    <x v="1"/>
    <x v="1"/>
    <x v="0"/>
    <x v="131"/>
    <x v="130"/>
    <x v="1"/>
    <x v="1"/>
  </r>
  <r>
    <x v="132"/>
    <s v="Raid"/>
    <s v="Zaabi"/>
    <x v="1"/>
    <x v="1"/>
    <x v="11"/>
    <x v="1"/>
    <x v="0"/>
    <x v="6"/>
    <x v="2"/>
    <x v="1"/>
    <x v="2"/>
    <x v="3"/>
    <x v="132"/>
    <x v="131"/>
    <x v="3"/>
    <x v="1"/>
  </r>
  <r>
    <x v="133"/>
    <s v="Tahani"/>
    <s v="Zaraq"/>
    <x v="0"/>
    <x v="0"/>
    <x v="21"/>
    <x v="0"/>
    <x v="2"/>
    <x v="5"/>
    <x v="3"/>
    <x v="0"/>
    <x v="0"/>
    <x v="3"/>
    <x v="133"/>
    <x v="132"/>
    <x v="4"/>
    <x v="1"/>
  </r>
  <r>
    <x v="134"/>
    <s v="Ali"/>
    <s v="Jabir"/>
    <x v="0"/>
    <x v="0"/>
    <x v="3"/>
    <x v="0"/>
    <x v="0"/>
    <x v="6"/>
    <x v="4"/>
    <x v="1"/>
    <x v="2"/>
    <x v="3"/>
    <x v="134"/>
    <x v="133"/>
    <x v="0"/>
    <x v="0"/>
  </r>
  <r>
    <x v="135"/>
    <s v="Haydar"/>
    <s v="Qubaisi"/>
    <x v="0"/>
    <x v="0"/>
    <x v="33"/>
    <x v="0"/>
    <x v="0"/>
    <x v="6"/>
    <x v="2"/>
    <x v="1"/>
    <x v="2"/>
    <x v="3"/>
    <x v="135"/>
    <x v="134"/>
    <x v="4"/>
    <x v="1"/>
  </r>
  <r>
    <x v="136"/>
    <s v="Omran"/>
    <s v="Mohammad"/>
    <x v="0"/>
    <x v="0"/>
    <x v="22"/>
    <x v="0"/>
    <x v="0"/>
    <x v="6"/>
    <x v="2"/>
    <x v="1"/>
    <x v="1"/>
    <x v="0"/>
    <x v="136"/>
    <x v="135"/>
    <x v="2"/>
    <x v="1"/>
  </r>
  <r>
    <x v="137"/>
    <s v="Shaheen"/>
    <s v="Saleem"/>
    <x v="0"/>
    <x v="0"/>
    <x v="40"/>
    <x v="0"/>
    <x v="0"/>
    <x v="6"/>
    <x v="2"/>
    <x v="1"/>
    <x v="2"/>
    <x v="3"/>
    <x v="137"/>
    <x v="136"/>
    <x v="4"/>
    <x v="1"/>
  </r>
  <r>
    <x v="138"/>
    <s v="Gorge"/>
    <s v="Essa"/>
    <x v="0"/>
    <x v="0"/>
    <x v="34"/>
    <x v="0"/>
    <x v="0"/>
    <x v="6"/>
    <x v="4"/>
    <x v="1"/>
    <x v="2"/>
    <x v="3"/>
    <x v="138"/>
    <x v="137"/>
    <x v="1"/>
    <x v="1"/>
  </r>
  <r>
    <x v="139"/>
    <s v="Loyai"/>
    <s v="Ibrahim"/>
    <x v="0"/>
    <x v="0"/>
    <x v="29"/>
    <x v="0"/>
    <x v="0"/>
    <x v="6"/>
    <x v="2"/>
    <x v="1"/>
    <x v="2"/>
    <x v="3"/>
    <x v="139"/>
    <x v="138"/>
    <x v="0"/>
    <x v="0"/>
  </r>
  <r>
    <x v="140"/>
    <s v="Saeed"/>
    <s v="Abdullah"/>
    <x v="0"/>
    <x v="0"/>
    <x v="22"/>
    <x v="0"/>
    <x v="2"/>
    <x v="6"/>
    <x v="2"/>
    <x v="1"/>
    <x v="2"/>
    <x v="3"/>
    <x v="140"/>
    <x v="139"/>
    <x v="2"/>
    <x v="1"/>
  </r>
  <r>
    <x v="141"/>
    <s v="Abdul"/>
    <s v="Qasim"/>
    <x v="0"/>
    <x v="1"/>
    <x v="15"/>
    <x v="0"/>
    <x v="0"/>
    <x v="6"/>
    <x v="4"/>
    <x v="1"/>
    <x v="2"/>
    <x v="3"/>
    <x v="141"/>
    <x v="140"/>
    <x v="1"/>
    <x v="1"/>
  </r>
  <r>
    <x v="142"/>
    <s v="Mohan"/>
    <s v="Ray"/>
    <x v="0"/>
    <x v="1"/>
    <x v="24"/>
    <x v="0"/>
    <x v="2"/>
    <x v="5"/>
    <x v="4"/>
    <x v="1"/>
    <x v="0"/>
    <x v="3"/>
    <x v="142"/>
    <x v="141"/>
    <x v="4"/>
    <x v="1"/>
  </r>
  <r>
    <x v="143"/>
    <s v="Robert"/>
    <s v="Aquino"/>
    <x v="0"/>
    <x v="0"/>
    <x v="42"/>
    <x v="0"/>
    <x v="2"/>
    <x v="6"/>
    <x v="4"/>
    <x v="1"/>
    <x v="1"/>
    <x v="0"/>
    <x v="143"/>
    <x v="142"/>
    <x v="4"/>
    <x v="1"/>
  </r>
  <r>
    <x v="144"/>
    <s v="Ali"/>
    <s v="Shamsi"/>
    <x v="1"/>
    <x v="1"/>
    <x v="14"/>
    <x v="0"/>
    <x v="2"/>
    <x v="6"/>
    <x v="2"/>
    <x v="1"/>
    <x v="2"/>
    <x v="3"/>
    <x v="144"/>
    <x v="143"/>
    <x v="4"/>
    <x v="1"/>
  </r>
  <r>
    <x v="145"/>
    <s v="hossam"/>
    <s v="Saeed"/>
    <x v="0"/>
    <x v="1"/>
    <x v="3"/>
    <x v="0"/>
    <x v="2"/>
    <x v="6"/>
    <x v="2"/>
    <x v="1"/>
    <x v="1"/>
    <x v="0"/>
    <x v="145"/>
    <x v="144"/>
    <x v="0"/>
    <x v="0"/>
  </r>
  <r>
    <x v="146"/>
    <s v="Mansour"/>
    <s v="Saad"/>
    <x v="1"/>
    <x v="1"/>
    <x v="40"/>
    <x v="1"/>
    <x v="2"/>
    <x v="6"/>
    <x v="2"/>
    <x v="1"/>
    <x v="2"/>
    <x v="3"/>
    <x v="146"/>
    <x v="145"/>
    <x v="4"/>
    <x v="1"/>
  </r>
  <r>
    <x v="147"/>
    <s v="Ahmed"/>
    <s v="Khader"/>
    <x v="0"/>
    <x v="1"/>
    <x v="3"/>
    <x v="0"/>
    <x v="2"/>
    <x v="6"/>
    <x v="2"/>
    <x v="1"/>
    <x v="2"/>
    <x v="3"/>
    <x v="147"/>
    <x v="146"/>
    <x v="0"/>
    <x v="0"/>
  </r>
  <r>
    <x v="148"/>
    <s v="hossam"/>
    <s v="Saeed"/>
    <x v="0"/>
    <x v="0"/>
    <x v="41"/>
    <x v="0"/>
    <x v="0"/>
    <x v="6"/>
    <x v="2"/>
    <x v="1"/>
    <x v="1"/>
    <x v="0"/>
    <x v="145"/>
    <x v="144"/>
    <x v="2"/>
    <x v="1"/>
  </r>
  <r>
    <x v="149"/>
    <s v="Mansour"/>
    <s v="Saad"/>
    <x v="1"/>
    <x v="0"/>
    <x v="25"/>
    <x v="0"/>
    <x v="0"/>
    <x v="6"/>
    <x v="2"/>
    <x v="1"/>
    <x v="2"/>
    <x v="3"/>
    <x v="146"/>
    <x v="145"/>
    <x v="2"/>
    <x v="1"/>
  </r>
  <r>
    <x v="150"/>
    <s v="Ahmed"/>
    <s v="Khader"/>
    <x v="2"/>
    <x v="0"/>
    <x v="1"/>
    <x v="0"/>
    <x v="0"/>
    <x v="6"/>
    <x v="2"/>
    <x v="1"/>
    <x v="2"/>
    <x v="3"/>
    <x v="147"/>
    <x v="14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8A937-C94A-4546-BF43-BDE4DFC3AAB4}" name="Employee_status"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2:I4"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6"/>
  </rowFields>
  <rowItems count="2">
    <i>
      <x/>
    </i>
    <i>
      <x v="1"/>
    </i>
  </rowItems>
  <colItems count="1">
    <i/>
  </colItems>
  <dataFields count="1">
    <dataField name="Count of Employee_name" fld="0" subtotal="count" baseField="0" baseItem="0"/>
  </dataFields>
  <formats count="5">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outline="0" fieldPosition="0">
        <references count="1">
          <reference field="6" count="0"/>
        </references>
      </pivotArea>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32704-A157-4111-B6FA-DE5D76F0B93D}" name="Job_level"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24:I26"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10"/>
  </rowFields>
  <rowItems count="2">
    <i>
      <x/>
    </i>
    <i>
      <x v="1"/>
    </i>
  </rowItems>
  <colItems count="1">
    <i/>
  </colItems>
  <dataFields count="1">
    <dataField name="Count of Employee_name" fld="0" subtotal="count" baseField="0" baseItem="0"/>
  </dataFields>
  <formats count="5">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outline="0" fieldPosition="0">
        <references count="1">
          <reference field="10" count="0"/>
        </references>
      </pivotArea>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1E63A-35F2-49B6-A8A2-F9BDC384E89B}" name="gender"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2:E4"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4"/>
  </rowFields>
  <rowItems count="2">
    <i>
      <x/>
    </i>
    <i>
      <x v="1"/>
    </i>
  </rowItems>
  <colItems count="1">
    <i/>
  </colItems>
  <dataFields count="1">
    <dataField name="Count of Employee_name" fld="0" subtotal="count" baseField="0" baseItem="0"/>
  </dataFields>
  <formats count="5">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outline="0" fieldPosition="0">
        <references count="1">
          <reference field="4" count="0"/>
        </references>
      </pivotArea>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293C3F-8903-4275-8C2B-25CCB760B938}" name="department"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B19:C28"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10">
        <item x="1"/>
        <item x="6"/>
        <item x="8"/>
        <item x="0"/>
        <item x="7"/>
        <item x="3"/>
        <item x="5"/>
        <item x="4"/>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8"/>
  </rowFields>
  <rowItems count="9">
    <i>
      <x v="1"/>
    </i>
    <i>
      <x/>
    </i>
    <i>
      <x v="4"/>
    </i>
    <i>
      <x v="7"/>
    </i>
    <i>
      <x v="8"/>
    </i>
    <i>
      <x v="2"/>
    </i>
    <i>
      <x v="6"/>
    </i>
    <i>
      <x v="3"/>
    </i>
    <i>
      <x v="5"/>
    </i>
  </rowItems>
  <colItems count="1">
    <i/>
  </colItems>
  <dataFields count="1">
    <dataField name="Count of Employee_name" fld="0" subtotal="count" baseField="0" baseItem="0"/>
  </dataFields>
  <formats count="5">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outline="0" fieldPosition="0">
        <references count="1">
          <reference field="8" count="0"/>
        </references>
      </pivotArea>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41209-DE0E-4080-AD15-1FE456308849}" name="Age_range"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K30:L35"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
        <item x="1"/>
        <item x="3"/>
        <item x="2"/>
        <item x="4"/>
        <item x="0"/>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15"/>
  </rowFields>
  <rowItems count="5">
    <i>
      <x/>
    </i>
    <i>
      <x v="1"/>
    </i>
    <i>
      <x v="2"/>
    </i>
    <i>
      <x v="3"/>
    </i>
    <i>
      <x v="4"/>
    </i>
  </rowItems>
  <colItems count="1">
    <i/>
  </colItems>
  <dataFields count="1">
    <dataField name="Count of Employee_name" fld="0" subtotal="count"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chartFormats count="1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3" format="5">
      <pivotArea type="data" outline="0" fieldPosition="0">
        <references count="2">
          <reference field="4294967294" count="1" selected="0">
            <x v="0"/>
          </reference>
          <reference field="15" count="1" selected="0">
            <x v="3"/>
          </reference>
        </references>
      </pivotArea>
    </chartFormat>
    <chartFormat chart="3" format="6">
      <pivotArea type="data" outline="0" fieldPosition="0">
        <references count="2">
          <reference field="4294967294" count="1" selected="0">
            <x v="0"/>
          </reference>
          <reference field="15"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 chart="4" format="12">
      <pivotArea type="data" outline="0" fieldPosition="0">
        <references count="2">
          <reference field="4294967294" count="1" selected="0">
            <x v="0"/>
          </reference>
          <reference field="15"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5"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 chart="5" format="11">
      <pivotArea type="data" outline="0" fieldPosition="0">
        <references count="2">
          <reference field="4294967294" count="1" selected="0">
            <x v="0"/>
          </reference>
          <reference field="15" count="1" selected="0">
            <x v="3"/>
          </reference>
        </references>
      </pivotArea>
    </chartFormat>
    <chartFormat chart="5" format="12">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D8FE9-3ED1-4CB0-855F-1A5268A34150}" name="Distribution_center"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8:L11"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11"/>
  </rowFields>
  <rowItems count="3">
    <i>
      <x/>
    </i>
    <i>
      <x v="1"/>
    </i>
    <i>
      <x v="2"/>
    </i>
  </rowItems>
  <colItems count="1">
    <i/>
  </colItems>
  <dataFields count="1">
    <dataField name="Count of Employee_name" fld="0" subtotal="count"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AAD9CE-6B4F-4482-87DC-078306895B2D}" name="Total_Employe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7">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3">
        <item x="1"/>
        <item x="0"/>
        <item t="default"/>
      </items>
      <extLst>
        <ext xmlns:x14="http://schemas.microsoft.com/office/spreadsheetml/2009/9/main" uri="{2946ED86-A175-432a-8AC1-64E0C546D7DE}">
          <x14:pivotField fillDownLabels="1"/>
        </ext>
      </extLst>
    </pivotField>
  </pivotFields>
  <rowItems count="1">
    <i/>
  </rowItems>
  <colItems count="1">
    <i/>
  </colItems>
  <dataFields count="1">
    <dataField name="Count of Employee_name" fld="0" subtotal="count" baseField="0" baseItem="0"/>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5EDFAD-1EAD-4968-AFC4-4F11B6349BFE}" name="location"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8:I22"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axis="axisRow" compact="0" outline="0" showAll="0">
      <items count="15">
        <item x="0"/>
        <item x="7"/>
        <item x="1"/>
        <item x="2"/>
        <item x="3"/>
        <item x="11"/>
        <item x="6"/>
        <item x="4"/>
        <item x="5"/>
        <item x="8"/>
        <item x="10"/>
        <item x="12"/>
        <item x="13"/>
        <item x="9"/>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12"/>
  </rowFields>
  <rowItems count="14">
    <i>
      <x/>
    </i>
    <i>
      <x v="1"/>
    </i>
    <i>
      <x v="2"/>
    </i>
    <i>
      <x v="3"/>
    </i>
    <i>
      <x v="4"/>
    </i>
    <i>
      <x v="5"/>
    </i>
    <i>
      <x v="6"/>
    </i>
    <i>
      <x v="7"/>
    </i>
    <i>
      <x v="8"/>
    </i>
    <i>
      <x v="9"/>
    </i>
    <i>
      <x v="10"/>
    </i>
    <i>
      <x v="11"/>
    </i>
    <i>
      <x v="12"/>
    </i>
    <i>
      <x v="13"/>
    </i>
  </rowItems>
  <colItems count="1">
    <i/>
  </colItems>
  <dataFields count="1">
    <dataField name="Count of Employee_name" fld="0" subtotal="count" baseField="0" baseItem="0"/>
  </dataFields>
  <formats count="5">
    <format dxfId="36">
      <pivotArea type="all" dataOnly="0" outline="0" fieldPosition="0"/>
    </format>
    <format dxfId="35">
      <pivotArea outline="0" collapsedLevelsAreSubtotals="1" fieldPosition="0"/>
    </format>
    <format dxfId="34">
      <pivotArea field="12" type="button" dataOnly="0" labelOnly="1" outline="0" axis="axisRow" fieldPosition="0"/>
    </format>
    <format dxfId="33">
      <pivotArea dataOnly="0" labelOnly="1" outline="0" fieldPosition="0">
        <references count="1">
          <reference field="12" count="0"/>
        </references>
      </pivotArea>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8902D1-7651-4616-80F2-FA50BAC155ED}" name="Designation"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H30:I39"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items count="10">
        <item x="5"/>
        <item x="8"/>
        <item x="3"/>
        <item x="4"/>
        <item x="0"/>
        <item x="1"/>
        <item x="6"/>
        <item x="7"/>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9"/>
  </rowFields>
  <rowItems count="9">
    <i>
      <x/>
    </i>
    <i>
      <x v="6"/>
    </i>
    <i>
      <x v="4"/>
    </i>
    <i>
      <x v="7"/>
    </i>
    <i>
      <x v="1"/>
    </i>
    <i>
      <x v="5"/>
    </i>
    <i>
      <x v="2"/>
    </i>
    <i>
      <x v="3"/>
    </i>
    <i>
      <x v="8"/>
    </i>
  </rowItems>
  <colItems count="1">
    <i/>
  </colItems>
  <dataFields count="1">
    <dataField name="Count of Employee_name" fld="0" subtotal="count" baseField="0" baseItem="0"/>
  </dataFields>
  <formats count="6">
    <format dxfId="42">
      <pivotArea type="all" dataOnly="0" outline="0" fieldPosition="0"/>
    </format>
    <format dxfId="41">
      <pivotArea outline="0" collapsedLevelsAreSubtotals="1" fieldPosition="0"/>
    </format>
    <format dxfId="40">
      <pivotArea field="9" type="button" dataOnly="0" labelOnly="1" outline="0" axis="axisRow" fieldPosition="0"/>
    </format>
    <format dxfId="39">
      <pivotArea dataOnly="0" labelOnly="1" fieldPosition="0">
        <references count="1">
          <reference field="9" count="0"/>
        </references>
      </pivotArea>
    </format>
    <format dxfId="38">
      <pivotArea dataOnly="0" labelOnly="1" grandRow="1" outline="0" fieldPosition="0"/>
    </format>
    <format dxfId="37">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BAC0E7-C475-4F6D-89B6-EEA7330B1019}" name="Employee_review"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14:C16"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1"/>
        <item x="0"/>
        <item t="default"/>
      </items>
      <extLst>
        <ext xmlns:x14="http://schemas.microsoft.com/office/spreadsheetml/2009/9/main" uri="{2946ED86-A175-432a-8AC1-64E0C546D7DE}">
          <x14:pivotField fillDownLabels="1"/>
        </ext>
      </extLst>
    </pivotField>
  </pivotFields>
  <rowFields count="1">
    <field x="16"/>
  </rowFields>
  <rowItems count="2">
    <i>
      <x/>
    </i>
    <i>
      <x v="1"/>
    </i>
  </rowItems>
  <colItems count="1">
    <i/>
  </colItems>
  <dataFields count="1">
    <dataField name="Count of Employee_name" fld="0" subtotal="count" baseField="0" baseItem="0"/>
  </dataFields>
  <formats count="5">
    <format dxfId="47">
      <pivotArea type="all" dataOnly="0" outline="0" fieldPosition="0"/>
    </format>
    <format dxfId="46">
      <pivotArea outline="0" collapsedLevelsAreSubtotals="1" fieldPosition="0"/>
    </format>
    <format dxfId="45">
      <pivotArea field="16" type="button" dataOnly="0" labelOnly="1" outline="0" axis="axisRow" fieldPosition="0"/>
    </format>
    <format dxfId="44">
      <pivotArea dataOnly="0" labelOnly="1" outline="0" fieldPosition="0">
        <references count="1">
          <reference field="16" count="0"/>
        </references>
      </pivotArea>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1D5983-3527-4AB6-B537-D790ACBFB9A4}" name="status"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8:C11" firstHeaderRow="1" firstDataRow="1" firstDataCol="1"/>
  <pivotFields count="17">
    <pivotField dataField="1"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3"/>
  </rowFields>
  <rowItems count="3">
    <i>
      <x/>
    </i>
    <i>
      <x v="1"/>
    </i>
    <i>
      <x v="2"/>
    </i>
  </rowItems>
  <colItems count="1">
    <i/>
  </colItems>
  <dataFields count="1">
    <dataField name="Count of Employee_name" fld="0" subtotal="count" baseField="0" baseItem="0"/>
  </dataFields>
  <formats count="5">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outline="0" fieldPosition="0">
        <references count="1">
          <reference field="3" count="0"/>
        </references>
      </pivotArea>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419670-AC99-4E92-8F82-50D1EA00ED1D}" name="Religion"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K2:L5" firstHeaderRow="1" firstDataRow="1" firstDataCol="1"/>
  <pivotFields count="17">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axis="axisRow"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1">
    <field x="7"/>
  </rowFields>
  <rowItems count="3">
    <i>
      <x/>
    </i>
    <i>
      <x v="1"/>
    </i>
    <i>
      <x v="2"/>
    </i>
  </rowItems>
  <colItems count="1">
    <i/>
  </colItems>
  <dataFields count="1">
    <dataField name="Count of Employee_name" fld="0" subtotal="count" baseField="0" baseItem="0"/>
  </dataFields>
  <formats count="3">
    <format dxfId="55">
      <pivotArea type="all" dataOnly="0" outline="0" fieldPosition="0"/>
    </format>
    <format dxfId="54">
      <pivotArea field="7" type="button" dataOnly="0" labelOnly="1" outline="0" axis="axisRow" fieldPosition="0"/>
    </format>
    <format dxfId="53">
      <pivotArea dataOnly="0" labelOnly="1" outline="0" fieldPosition="0">
        <references count="1">
          <reference field="7" count="0"/>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9A3605-9970-473F-90E1-C0A5576EEF74}" name="PivotTable27" cacheId="9"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C5:L156" firstHeaderRow="1" firstDataRow="1" firstDataCol="10"/>
  <pivotFields count="17">
    <pivotField axis="axisRow" compact="0" outline="0" showAll="0" defaultSubtotal="0">
      <items count="151">
        <item x="141"/>
        <item x="69"/>
        <item x="73"/>
        <item x="91"/>
        <item x="64"/>
        <item x="42"/>
        <item x="37"/>
        <item x="150"/>
        <item x="41"/>
        <item x="74"/>
        <item x="144"/>
        <item x="134"/>
        <item x="99"/>
        <item x="84"/>
        <item x="76"/>
        <item x="110"/>
        <item x="0"/>
        <item x="65"/>
        <item x="45"/>
        <item x="1"/>
        <item x="87"/>
        <item x="2"/>
        <item x="121"/>
        <item x="126"/>
        <item x="3"/>
        <item x="106"/>
        <item x="4"/>
        <item x="112"/>
        <item x="40"/>
        <item x="66"/>
        <item x="104"/>
        <item x="31"/>
        <item x="86"/>
        <item x="34"/>
        <item x="103"/>
        <item x="43"/>
        <item x="83"/>
        <item x="47"/>
        <item x="129"/>
        <item x="72"/>
        <item x="5"/>
        <item x="138"/>
        <item x="6"/>
        <item x="30"/>
        <item x="52"/>
        <item x="58"/>
        <item x="7"/>
        <item x="63"/>
        <item x="77"/>
        <item x="135"/>
        <item x="8"/>
        <item x="125"/>
        <item x="148"/>
        <item x="88"/>
        <item x="89"/>
        <item x="90"/>
        <item x="95"/>
        <item x="61"/>
        <item x="115"/>
        <item x="81"/>
        <item x="92"/>
        <item x="108"/>
        <item x="9"/>
        <item x="59"/>
        <item x="117"/>
        <item x="68"/>
        <item x="62"/>
        <item x="10"/>
        <item x="49"/>
        <item x="118"/>
        <item x="11"/>
        <item x="50"/>
        <item x="12"/>
        <item x="79"/>
        <item x="96"/>
        <item x="139"/>
        <item x="13"/>
        <item x="14"/>
        <item x="38"/>
        <item x="101"/>
        <item x="35"/>
        <item x="60"/>
        <item x="107"/>
        <item x="111"/>
        <item x="15"/>
        <item x="149"/>
        <item x="33"/>
        <item x="16"/>
        <item x="17"/>
        <item x="100"/>
        <item x="48"/>
        <item x="127"/>
        <item x="82"/>
        <item x="18"/>
        <item x="142"/>
        <item x="94"/>
        <item x="29"/>
        <item x="136"/>
        <item x="19"/>
        <item x="57"/>
        <item x="120"/>
        <item x="20"/>
        <item x="70"/>
        <item x="132"/>
        <item x="131"/>
        <item x="21"/>
        <item x="109"/>
        <item x="119"/>
        <item x="130"/>
        <item x="102"/>
        <item x="51"/>
        <item x="78"/>
        <item x="39"/>
        <item x="143"/>
        <item x="105"/>
        <item x="113"/>
        <item x="36"/>
        <item x="97"/>
        <item x="140"/>
        <item x="128"/>
        <item x="44"/>
        <item x="137"/>
        <item x="123"/>
        <item x="98"/>
        <item x="22"/>
        <item x="80"/>
        <item x="71"/>
        <item x="54"/>
        <item x="114"/>
        <item x="93"/>
        <item x="32"/>
        <item x="116"/>
        <item x="75"/>
        <item x="53"/>
        <item x="133"/>
        <item x="85"/>
        <item x="23"/>
        <item x="24"/>
        <item x="46"/>
        <item x="25"/>
        <item x="26"/>
        <item x="27"/>
        <item x="56"/>
        <item x="55"/>
        <item x="124"/>
        <item x="28"/>
        <item x="67"/>
        <item x="122"/>
        <item x="145"/>
        <item x="146"/>
        <item x="147"/>
      </items>
    </pivotField>
    <pivotField compact="0" outline="0" showAll="0" defaultSubtotal="0"/>
    <pivotField compact="0" outline="0" showAll="0" defaultSubtotal="0"/>
    <pivotField axis="axisRow" compact="0" outline="0" showAll="0" defaultSubtotal="0">
      <items count="3">
        <item x="2"/>
        <item x="0"/>
        <item x="1"/>
      </items>
    </pivotField>
    <pivotField axis="axisRow" compact="0" outline="0" showAll="0" defaultSubtotal="0">
      <items count="2">
        <item x="1"/>
        <item x="0"/>
      </items>
    </pivotField>
    <pivotField axis="axisRow" compact="0" outline="0" showAll="0" defaultSubtotal="0">
      <items count="45">
        <item x="27"/>
        <item x="15"/>
        <item x="34"/>
        <item x="43"/>
        <item x="1"/>
        <item x="7"/>
        <item x="38"/>
        <item x="5"/>
        <item x="31"/>
        <item x="4"/>
        <item x="35"/>
        <item x="37"/>
        <item x="11"/>
        <item x="32"/>
        <item x="30"/>
        <item x="26"/>
        <item x="16"/>
        <item x="2"/>
        <item x="19"/>
        <item x="22"/>
        <item x="6"/>
        <item x="20"/>
        <item x="25"/>
        <item x="41"/>
        <item x="10"/>
        <item x="18"/>
        <item x="12"/>
        <item x="39"/>
        <item x="42"/>
        <item x="9"/>
        <item x="17"/>
        <item x="40"/>
        <item x="24"/>
        <item x="13"/>
        <item x="44"/>
        <item x="33"/>
        <item x="14"/>
        <item x="21"/>
        <item x="36"/>
        <item x="28"/>
        <item x="8"/>
        <item x="29"/>
        <item x="0"/>
        <item x="3"/>
        <item x="23"/>
      </items>
    </pivotField>
    <pivotField axis="axisRow" compact="0" outline="0" showAll="0" defaultSubtotal="0">
      <items count="2">
        <item x="0"/>
        <item x="1"/>
      </items>
    </pivotField>
    <pivotField axis="axisRow" compact="0" outline="0" showAll="0" defaultSubtotal="0">
      <items count="3">
        <item x="2"/>
        <item x="1"/>
        <item x="0"/>
      </items>
    </pivotField>
    <pivotField axis="axisRow" compact="0" outline="0" showAll="0" defaultSubtotal="0">
      <items count="9">
        <item x="2"/>
        <item x="4"/>
        <item x="5"/>
        <item x="3"/>
        <item x="7"/>
        <item x="0"/>
        <item x="8"/>
        <item x="6"/>
        <item x="1"/>
      </items>
    </pivotField>
    <pivotField compact="0" outline="0" showAll="0" defaultSubtotal="0"/>
    <pivotField compact="0" outline="0" showAll="0" defaultSubtotal="0"/>
    <pivotField compact="0" outline="0" subtotalTop="0" showAll="0" defaultSubtotal="0"/>
    <pivotField compact="0" outline="0" showAll="0" defaultSubtotal="0"/>
    <pivotField axis="axisRow" compact="0" outline="0" showAll="0" defaultSubtotal="0">
      <items count="148">
        <item x="20"/>
        <item x="25"/>
        <item x="29"/>
        <item x="3"/>
        <item x="60"/>
        <item x="35"/>
        <item x="2"/>
        <item x="52"/>
        <item x="68"/>
        <item x="83"/>
        <item x="101"/>
        <item x="91"/>
        <item x="73"/>
        <item x="36"/>
        <item x="50"/>
        <item x="33"/>
        <item x="26"/>
        <item x="62"/>
        <item x="61"/>
        <item x="17"/>
        <item x="23"/>
        <item x="19"/>
        <item x="18"/>
        <item x="1"/>
        <item x="21"/>
        <item x="27"/>
        <item x="31"/>
        <item x="34"/>
        <item x="32"/>
        <item x="58"/>
        <item x="64"/>
        <item x="7"/>
        <item x="43"/>
        <item x="84"/>
        <item x="86"/>
        <item x="89"/>
        <item x="85"/>
        <item x="92"/>
        <item x="65"/>
        <item x="66"/>
        <item x="67"/>
        <item x="72"/>
        <item x="104"/>
        <item x="118"/>
        <item x="15"/>
        <item x="131"/>
        <item x="12"/>
        <item x="121"/>
        <item x="127"/>
        <item x="136"/>
        <item x="0"/>
        <item x="41"/>
        <item x="38"/>
        <item x="53"/>
        <item x="48"/>
        <item x="74"/>
        <item x="77"/>
        <item x="47"/>
        <item x="76"/>
        <item x="46"/>
        <item x="69"/>
        <item x="96"/>
        <item x="56"/>
        <item x="79"/>
        <item x="81"/>
        <item x="55"/>
        <item x="87"/>
        <item x="94"/>
        <item x="82"/>
        <item x="103"/>
        <item x="78"/>
        <item x="122"/>
        <item x="8"/>
        <item x="111"/>
        <item x="145"/>
        <item x="107"/>
        <item x="88"/>
        <item x="44"/>
        <item x="90"/>
        <item x="143"/>
        <item x="128"/>
        <item x="125"/>
        <item x="117"/>
        <item x="129"/>
        <item x="139"/>
        <item x="11"/>
        <item x="130"/>
        <item x="138"/>
        <item x="146"/>
        <item x="9"/>
        <item x="10"/>
        <item x="115"/>
        <item x="123"/>
        <item x="13"/>
        <item x="134"/>
        <item x="14"/>
        <item x="132"/>
        <item x="142"/>
        <item x="16"/>
        <item x="137"/>
        <item x="22"/>
        <item x="24"/>
        <item x="39"/>
        <item x="42"/>
        <item x="45"/>
        <item x="40"/>
        <item x="4"/>
        <item x="49"/>
        <item x="37"/>
        <item x="54"/>
        <item x="80"/>
        <item x="5"/>
        <item x="93"/>
        <item x="75"/>
        <item x="108"/>
        <item x="63"/>
        <item x="100"/>
        <item x="70"/>
        <item x="124"/>
        <item x="119"/>
        <item x="102"/>
        <item x="71"/>
        <item x="109"/>
        <item x="133"/>
        <item x="6"/>
        <item x="126"/>
        <item x="147"/>
        <item x="135"/>
        <item x="105"/>
        <item x="99"/>
        <item x="106"/>
        <item x="141"/>
        <item x="113"/>
        <item x="120"/>
        <item x="97"/>
        <item x="112"/>
        <item x="110"/>
        <item x="140"/>
        <item x="116"/>
        <item x="144"/>
        <item x="95"/>
        <item x="114"/>
        <item x="98"/>
        <item x="51"/>
        <item x="57"/>
        <item x="59"/>
        <item x="28"/>
        <item x="30"/>
      </items>
    </pivotField>
    <pivotField axis="axisRow" compact="0" outline="0" showAll="0" defaultSubtotal="0">
      <items count="147">
        <item x="140"/>
        <item x="69"/>
        <item x="73"/>
        <item x="91"/>
        <item x="64"/>
        <item x="42"/>
        <item x="2"/>
        <item x="17"/>
        <item x="37"/>
        <item x="146"/>
        <item x="41"/>
        <item x="74"/>
        <item x="19"/>
        <item x="143"/>
        <item x="133"/>
        <item x="99"/>
        <item x="80"/>
        <item x="76"/>
        <item x="84"/>
        <item x="110"/>
        <item x="12"/>
        <item x="65"/>
        <item x="45"/>
        <item x="122"/>
        <item x="87"/>
        <item x="120"/>
        <item x="1"/>
        <item x="125"/>
        <item x="11"/>
        <item x="20"/>
        <item x="8"/>
        <item x="106"/>
        <item x="112"/>
        <item x="40"/>
        <item x="66"/>
        <item x="104"/>
        <item x="31"/>
        <item x="86"/>
        <item x="34"/>
        <item x="103"/>
        <item x="43"/>
        <item x="83"/>
        <item x="47"/>
        <item x="128"/>
        <item x="26"/>
        <item x="15"/>
        <item x="72"/>
        <item x="3"/>
        <item x="10"/>
        <item x="137"/>
        <item x="30"/>
        <item x="52"/>
        <item x="58"/>
        <item x="75"/>
        <item x="63"/>
        <item x="77"/>
        <item x="134"/>
        <item x="124"/>
        <item x="144"/>
        <item x="88"/>
        <item x="89"/>
        <item x="90"/>
        <item x="25"/>
        <item x="95"/>
        <item x="61"/>
        <item x="81"/>
        <item x="92"/>
        <item x="108"/>
        <item x="59"/>
        <item x="116"/>
        <item x="68"/>
        <item x="7"/>
        <item x="62"/>
        <item x="49"/>
        <item x="27"/>
        <item x="117"/>
        <item x="93"/>
        <item x="5"/>
        <item x="50"/>
        <item x="79"/>
        <item x="96"/>
        <item x="16"/>
        <item x="13"/>
        <item x="0"/>
        <item x="138"/>
        <item x="9"/>
        <item x="38"/>
        <item x="101"/>
        <item x="35"/>
        <item x="60"/>
        <item x="107"/>
        <item x="111"/>
        <item x="145"/>
        <item x="33"/>
        <item x="48"/>
        <item x="100"/>
        <item x="141"/>
        <item x="126"/>
        <item x="82"/>
        <item x="94"/>
        <item x="29"/>
        <item x="135"/>
        <item x="4"/>
        <item x="57"/>
        <item x="119"/>
        <item x="70"/>
        <item x="130"/>
        <item x="131"/>
        <item x="109"/>
        <item x="118"/>
        <item x="129"/>
        <item x="102"/>
        <item x="51"/>
        <item x="78"/>
        <item x="39"/>
        <item x="142"/>
        <item x="105"/>
        <item x="113"/>
        <item x="36"/>
        <item x="97"/>
        <item x="139"/>
        <item x="127"/>
        <item x="28"/>
        <item x="44"/>
        <item x="23"/>
        <item x="136"/>
        <item x="22"/>
        <item x="98"/>
        <item x="71"/>
        <item x="54"/>
        <item x="114"/>
        <item x="32"/>
        <item x="115"/>
        <item x="24"/>
        <item x="6"/>
        <item x="53"/>
        <item x="132"/>
        <item x="21"/>
        <item x="85"/>
        <item x="46"/>
        <item x="56"/>
        <item x="55"/>
        <item x="123"/>
        <item x="67"/>
        <item x="18"/>
        <item x="121"/>
        <item x="14"/>
      </items>
    </pivotField>
    <pivotField compact="0" outline="0" showAll="0" defaultSubtotal="0"/>
    <pivotField axis="axisRow" compact="0" outline="0" showAll="0" defaultSubtotal="0">
      <items count="2">
        <item x="1"/>
        <item x="0"/>
      </items>
    </pivotField>
  </pivotFields>
  <rowFields count="10">
    <field x="0"/>
    <field x="4"/>
    <field x="5"/>
    <field x="3"/>
    <field x="13"/>
    <field x="14"/>
    <field x="7"/>
    <field x="8"/>
    <field x="6"/>
    <field x="16"/>
  </rowFields>
  <rowItems count="151">
    <i>
      <x/>
      <x/>
      <x v="1"/>
      <x v="1"/>
      <x v="131"/>
      <x/>
      <x v="2"/>
      <x v="7"/>
      <x/>
      <x/>
    </i>
    <i>
      <x v="1"/>
      <x/>
      <x v="5"/>
      <x v="2"/>
      <x v="60"/>
      <x v="1"/>
      <x/>
      <x v="1"/>
      <x/>
      <x/>
    </i>
    <i>
      <x v="2"/>
      <x v="1"/>
      <x v="38"/>
      <x v="2"/>
      <x v="12"/>
      <x v="2"/>
      <x v="1"/>
      <x v="8"/>
      <x/>
      <x/>
    </i>
    <i>
      <x v="3"/>
      <x v="1"/>
      <x v="25"/>
      <x v="1"/>
      <x v="11"/>
      <x v="3"/>
      <x v="1"/>
      <x v="8"/>
      <x/>
      <x/>
    </i>
    <i>
      <x v="4"/>
      <x/>
      <x v="17"/>
      <x v="2"/>
      <x v="30"/>
      <x v="4"/>
      <x v="2"/>
      <x v="8"/>
      <x/>
      <x/>
    </i>
    <i>
      <x v="5"/>
      <x/>
      <x v="12"/>
      <x v="1"/>
      <x v="103"/>
      <x v="5"/>
      <x v="1"/>
      <x v="1"/>
      <x/>
      <x/>
    </i>
    <i>
      <x v="6"/>
      <x v="1"/>
      <x v="21"/>
      <x v="1"/>
      <x v="108"/>
      <x v="8"/>
      <x v="2"/>
      <x/>
      <x v="1"/>
      <x/>
    </i>
    <i>
      <x v="7"/>
      <x v="1"/>
      <x v="4"/>
      <x/>
      <x v="126"/>
      <x v="9"/>
      <x v="2"/>
      <x v="7"/>
      <x/>
      <x/>
    </i>
    <i>
      <x v="8"/>
      <x v="1"/>
      <x v="44"/>
      <x v="1"/>
      <x v="51"/>
      <x v="10"/>
      <x v="1"/>
      <x v="7"/>
      <x/>
      <x v="1"/>
    </i>
    <i>
      <x v="9"/>
      <x v="1"/>
      <x v="39"/>
      <x v="1"/>
      <x v="55"/>
      <x v="11"/>
      <x v="2"/>
      <x v="8"/>
      <x/>
      <x v="1"/>
    </i>
    <i>
      <x v="10"/>
      <x/>
      <x v="36"/>
      <x v="2"/>
      <x v="139"/>
      <x v="13"/>
      <x/>
      <x v="7"/>
      <x/>
      <x/>
    </i>
    <i>
      <x v="11"/>
      <x v="1"/>
      <x v="43"/>
      <x v="1"/>
      <x v="94"/>
      <x v="14"/>
      <x v="2"/>
      <x v="7"/>
      <x/>
      <x v="1"/>
    </i>
    <i>
      <x v="12"/>
      <x v="1"/>
      <x v="33"/>
      <x v="1"/>
      <x v="129"/>
      <x v="15"/>
      <x v="2"/>
      <x v="7"/>
      <x/>
      <x/>
    </i>
    <i>
      <x v="13"/>
      <x v="1"/>
      <x v="17"/>
      <x v="1"/>
      <x v="33"/>
      <x v="18"/>
      <x/>
      <x v="8"/>
      <x/>
      <x/>
    </i>
    <i>
      <x v="14"/>
      <x v="1"/>
      <x v="29"/>
      <x v="2"/>
      <x v="58"/>
      <x v="17"/>
      <x/>
      <x v="7"/>
      <x/>
      <x/>
    </i>
    <i>
      <x v="15"/>
      <x v="1"/>
      <x v="3"/>
      <x v="2"/>
      <x v="136"/>
      <x v="19"/>
      <x v="2"/>
      <x v="7"/>
      <x/>
      <x/>
    </i>
    <i>
      <x v="16"/>
      <x v="1"/>
      <x v="42"/>
      <x v="1"/>
      <x v="50"/>
      <x v="83"/>
      <x v="2"/>
      <x v="5"/>
      <x/>
      <x v="1"/>
    </i>
    <i>
      <x v="17"/>
      <x v="1"/>
      <x/>
      <x v="1"/>
      <x v="38"/>
      <x v="21"/>
      <x/>
      <x v="8"/>
      <x/>
      <x/>
    </i>
    <i>
      <x v="18"/>
      <x v="1"/>
      <x v="21"/>
      <x v="2"/>
      <x v="104"/>
      <x v="22"/>
      <x v="2"/>
      <x v="7"/>
      <x/>
      <x/>
    </i>
    <i>
      <x v="19"/>
      <x v="1"/>
      <x v="4"/>
      <x v="1"/>
      <x v="23"/>
      <x v="26"/>
      <x v="2"/>
      <x v="8"/>
      <x v="1"/>
      <x/>
    </i>
    <i>
      <x v="20"/>
      <x v="1"/>
      <x v="13"/>
      <x v="2"/>
      <x v="66"/>
      <x v="24"/>
      <x v="1"/>
      <x v="8"/>
      <x/>
      <x/>
    </i>
    <i>
      <x v="21"/>
      <x/>
      <x v="17"/>
      <x v="1"/>
      <x v="6"/>
      <x v="6"/>
      <x v="2"/>
      <x v="8"/>
      <x/>
      <x/>
    </i>
    <i>
      <x v="22"/>
      <x v="1"/>
      <x v="1"/>
      <x v="1"/>
      <x v="47"/>
      <x v="25"/>
      <x v="2"/>
      <x v="4"/>
      <x/>
      <x/>
    </i>
    <i>
      <x v="23"/>
      <x/>
      <x v="24"/>
      <x v="1"/>
      <x v="125"/>
      <x v="27"/>
      <x/>
      <x v="7"/>
      <x/>
      <x/>
    </i>
    <i>
      <x v="24"/>
      <x v="1"/>
      <x v="43"/>
      <x v="1"/>
      <x v="3"/>
      <x v="47"/>
      <x v="1"/>
      <x v="8"/>
      <x/>
      <x v="1"/>
    </i>
    <i>
      <x v="25"/>
      <x v="1"/>
      <x v="21"/>
      <x v="1"/>
      <x v="130"/>
      <x v="31"/>
      <x v="2"/>
      <x v="7"/>
      <x/>
      <x/>
    </i>
    <i>
      <x v="26"/>
      <x/>
      <x v="9"/>
      <x v="2"/>
      <x v="106"/>
      <x v="102"/>
      <x/>
      <x/>
      <x/>
      <x/>
    </i>
    <i>
      <x v="27"/>
      <x v="1"/>
      <x v="19"/>
      <x v="2"/>
      <x v="135"/>
      <x v="32"/>
      <x v="2"/>
      <x v="4"/>
      <x/>
      <x/>
    </i>
    <i>
      <x v="28"/>
      <x v="1"/>
      <x v="22"/>
      <x v="2"/>
      <x v="105"/>
      <x v="33"/>
      <x v="2"/>
      <x v="5"/>
      <x/>
      <x/>
    </i>
    <i>
      <x v="29"/>
      <x/>
      <x v="9"/>
      <x v="2"/>
      <x v="39"/>
      <x v="34"/>
      <x/>
      <x v="8"/>
      <x/>
      <x/>
    </i>
    <i>
      <x v="30"/>
      <x/>
      <x/>
      <x v="1"/>
      <x v="42"/>
      <x v="35"/>
      <x v="2"/>
      <x v="7"/>
      <x/>
      <x/>
    </i>
    <i>
      <x v="31"/>
      <x v="1"/>
      <x v="5"/>
      <x v="1"/>
      <x v="26"/>
      <x v="36"/>
      <x v="2"/>
      <x v="8"/>
      <x/>
      <x/>
    </i>
    <i>
      <x v="32"/>
      <x v="1"/>
      <x v="7"/>
      <x v="1"/>
      <x v="34"/>
      <x v="37"/>
      <x v="2"/>
      <x v="8"/>
      <x/>
      <x/>
    </i>
    <i>
      <x v="33"/>
      <x v="1"/>
      <x v="16"/>
      <x v="2"/>
      <x v="27"/>
      <x v="38"/>
      <x v="2"/>
      <x v="8"/>
      <x/>
      <x/>
    </i>
    <i>
      <x v="34"/>
      <x v="1"/>
      <x v="31"/>
      <x v="1"/>
      <x v="69"/>
      <x v="39"/>
      <x v="2"/>
      <x v="7"/>
      <x/>
      <x/>
    </i>
    <i>
      <x v="35"/>
      <x v="1"/>
      <x v="21"/>
      <x v="1"/>
      <x v="32"/>
      <x v="40"/>
      <x v="2"/>
      <x v="6"/>
      <x/>
      <x/>
    </i>
    <i>
      <x v="36"/>
      <x v="1"/>
      <x v="27"/>
      <x v="2"/>
      <x v="9"/>
      <x v="41"/>
      <x v="2"/>
      <x v="8"/>
      <x/>
      <x/>
    </i>
    <i>
      <x v="37"/>
      <x v="1"/>
      <x v="7"/>
      <x v="2"/>
      <x v="57"/>
      <x v="42"/>
      <x v="2"/>
      <x v="7"/>
      <x/>
      <x/>
    </i>
    <i>
      <x v="38"/>
      <x/>
      <x v="29"/>
      <x v="1"/>
      <x v="83"/>
      <x v="43"/>
      <x/>
      <x v="7"/>
      <x/>
      <x/>
    </i>
    <i>
      <x v="39"/>
      <x v="1"/>
      <x v="10"/>
      <x v="2"/>
      <x v="41"/>
      <x v="46"/>
      <x v="2"/>
      <x v="8"/>
      <x/>
      <x/>
    </i>
    <i>
      <x v="40"/>
      <x v="1"/>
      <x v="7"/>
      <x v="2"/>
      <x v="111"/>
      <x v="77"/>
      <x v="1"/>
      <x v="3"/>
      <x/>
      <x/>
    </i>
    <i>
      <x v="41"/>
      <x v="1"/>
      <x v="2"/>
      <x v="1"/>
      <x v="87"/>
      <x v="49"/>
      <x v="2"/>
      <x v="7"/>
      <x/>
      <x/>
    </i>
    <i>
      <x v="42"/>
      <x v="1"/>
      <x v="20"/>
      <x v="1"/>
      <x v="124"/>
      <x v="134"/>
      <x v="2"/>
      <x v="1"/>
      <x/>
      <x/>
    </i>
    <i>
      <x v="43"/>
      <x v="1"/>
      <x v="22"/>
      <x v="1"/>
      <x v="147"/>
      <x v="50"/>
      <x v="2"/>
      <x v="8"/>
      <x/>
      <x/>
    </i>
    <i>
      <x v="44"/>
      <x v="1"/>
      <x v="16"/>
      <x v="2"/>
      <x v="7"/>
      <x v="51"/>
      <x/>
      <x v="8"/>
      <x/>
      <x/>
    </i>
    <i>
      <x v="45"/>
      <x v="1"/>
      <x v="22"/>
      <x v="2"/>
      <x v="29"/>
      <x v="52"/>
      <x v="2"/>
      <x v="8"/>
      <x/>
      <x/>
    </i>
    <i>
      <x v="46"/>
      <x/>
      <x v="5"/>
      <x v="1"/>
      <x v="31"/>
      <x v="71"/>
      <x/>
      <x v="8"/>
      <x/>
      <x/>
    </i>
    <i>
      <x v="47"/>
      <x v="1"/>
      <x v="20"/>
      <x v="1"/>
      <x v="115"/>
      <x v="54"/>
      <x v="2"/>
      <x v="4"/>
      <x/>
      <x/>
    </i>
    <i>
      <x v="48"/>
      <x/>
      <x v="11"/>
      <x v="2"/>
      <x v="56"/>
      <x v="55"/>
      <x v="1"/>
      <x v="7"/>
      <x/>
      <x/>
    </i>
    <i>
      <x v="49"/>
      <x v="1"/>
      <x v="35"/>
      <x v="1"/>
      <x v="127"/>
      <x v="56"/>
      <x v="2"/>
      <x v="7"/>
      <x/>
      <x/>
    </i>
    <i>
      <x v="50"/>
      <x v="1"/>
      <x v="40"/>
      <x v="1"/>
      <x v="72"/>
      <x v="30"/>
      <x v="2"/>
      <x v="2"/>
      <x v="1"/>
      <x v="1"/>
    </i>
    <i>
      <x v="51"/>
      <x v="1"/>
      <x v="3"/>
      <x v="1"/>
      <x v="81"/>
      <x v="57"/>
      <x/>
      <x v="4"/>
      <x/>
      <x/>
    </i>
    <i>
      <x v="52"/>
      <x v="1"/>
      <x v="23"/>
      <x v="1"/>
      <x v="74"/>
      <x v="58"/>
      <x v="2"/>
      <x v="7"/>
      <x/>
      <x/>
    </i>
    <i>
      <x v="53"/>
      <x v="1"/>
      <x v="24"/>
      <x v="2"/>
      <x v="76"/>
      <x v="59"/>
      <x/>
      <x v="8"/>
      <x/>
      <x/>
    </i>
    <i>
      <x v="54"/>
      <x v="1"/>
      <x v="9"/>
      <x v="2"/>
      <x v="35"/>
      <x v="60"/>
      <x/>
      <x v="8"/>
      <x/>
      <x/>
    </i>
    <i>
      <x v="55"/>
      <x v="1"/>
      <x v="31"/>
      <x v="1"/>
      <x v="78"/>
      <x v="61"/>
      <x v="1"/>
      <x v="8"/>
      <x/>
      <x/>
    </i>
    <i>
      <x v="56"/>
      <x v="1"/>
      <x v="24"/>
      <x v="2"/>
      <x v="140"/>
      <x v="63"/>
      <x v="2"/>
      <x v="8"/>
      <x/>
      <x/>
    </i>
    <i>
      <x v="57"/>
      <x v="1"/>
      <x v="18"/>
      <x v="1"/>
      <x v="18"/>
      <x v="64"/>
      <x v="2"/>
      <x v="8"/>
      <x v="1"/>
      <x/>
    </i>
    <i>
      <x v="58"/>
      <x v="1"/>
      <x v="1"/>
      <x v="2"/>
      <x v="91"/>
      <x v="45"/>
      <x v="2"/>
      <x v="4"/>
      <x/>
      <x/>
    </i>
    <i>
      <x v="59"/>
      <x/>
      <x v="6"/>
      <x/>
      <x v="64"/>
      <x v="65"/>
      <x/>
      <x v="7"/>
      <x/>
      <x/>
    </i>
    <i>
      <x v="60"/>
      <x v="1"/>
      <x/>
      <x v="2"/>
      <x v="37"/>
      <x v="66"/>
      <x v="2"/>
      <x v="8"/>
      <x/>
      <x/>
    </i>
    <i>
      <x v="61"/>
      <x v="1"/>
      <x v="21"/>
      <x v="1"/>
      <x v="114"/>
      <x v="67"/>
      <x v="2"/>
      <x v="7"/>
      <x/>
      <x/>
    </i>
    <i>
      <x v="62"/>
      <x v="1"/>
      <x v="29"/>
      <x v="1"/>
      <x v="89"/>
      <x v="85"/>
      <x v="2"/>
      <x v="5"/>
      <x/>
      <x/>
    </i>
    <i>
      <x v="63"/>
      <x v="1"/>
      <x v="13"/>
      <x v="1"/>
      <x v="145"/>
      <x v="68"/>
      <x v="2"/>
      <x v="8"/>
      <x/>
      <x/>
    </i>
    <i>
      <x v="64"/>
      <x v="1"/>
      <x v="10"/>
      <x v="2"/>
      <x v="82"/>
      <x v="69"/>
      <x v="2"/>
      <x v="7"/>
      <x/>
      <x/>
    </i>
    <i>
      <x v="65"/>
      <x v="1"/>
      <x v="1"/>
      <x v="1"/>
      <x v="8"/>
      <x v="70"/>
      <x v="2"/>
      <x v="6"/>
      <x/>
      <x/>
    </i>
    <i>
      <x v="66"/>
      <x v="1"/>
      <x v="19"/>
      <x v="1"/>
      <x v="17"/>
      <x v="72"/>
      <x/>
      <x v="8"/>
      <x/>
      <x/>
    </i>
    <i>
      <x v="67"/>
      <x v="1"/>
      <x v="24"/>
      <x v="1"/>
      <x v="90"/>
      <x v="48"/>
      <x/>
      <x/>
      <x/>
      <x/>
    </i>
    <i>
      <x v="68"/>
      <x v="1"/>
      <x v="41"/>
      <x/>
      <x v="107"/>
      <x v="73"/>
      <x v="2"/>
      <x v="7"/>
      <x v="1"/>
      <x v="1"/>
    </i>
    <i>
      <x v="69"/>
      <x v="1"/>
      <x v="43"/>
      <x v="1"/>
      <x v="43"/>
      <x v="75"/>
      <x v="2"/>
      <x v="7"/>
      <x/>
      <x v="1"/>
    </i>
    <i>
      <x v="70"/>
      <x v="1"/>
      <x v="12"/>
      <x v="1"/>
      <x v="85"/>
      <x v="28"/>
      <x v="2"/>
      <x v="7"/>
      <x/>
      <x/>
    </i>
    <i>
      <x v="71"/>
      <x v="1"/>
      <x v="33"/>
      <x v="1"/>
      <x v="14"/>
      <x v="78"/>
      <x v="2"/>
      <x v="8"/>
      <x/>
      <x/>
    </i>
    <i>
      <x v="72"/>
      <x v="1"/>
      <x v="26"/>
      <x v="2"/>
      <x v="46"/>
      <x v="20"/>
      <x v="2"/>
      <x v="7"/>
      <x/>
      <x/>
    </i>
    <i>
      <x v="73"/>
      <x v="1"/>
      <x v="36"/>
      <x v="1"/>
      <x v="63"/>
      <x v="79"/>
      <x/>
      <x v="7"/>
      <x/>
      <x/>
    </i>
    <i>
      <x v="74"/>
      <x v="1"/>
      <x v="23"/>
      <x v="1"/>
      <x v="61"/>
      <x v="80"/>
      <x v="2"/>
      <x v="7"/>
      <x/>
      <x/>
    </i>
    <i>
      <x v="75"/>
      <x v="1"/>
      <x v="41"/>
      <x v="1"/>
      <x v="84"/>
      <x v="84"/>
      <x v="2"/>
      <x v="7"/>
      <x/>
      <x v="1"/>
    </i>
    <i>
      <x v="76"/>
      <x/>
      <x v="7"/>
      <x v="2"/>
      <x v="93"/>
      <x v="82"/>
      <x v="2"/>
      <x v="5"/>
      <x/>
      <x/>
    </i>
    <i>
      <x v="77"/>
      <x v="1"/>
      <x v="33"/>
      <x v="1"/>
      <x v="95"/>
      <x v="146"/>
      <x v="2"/>
      <x v="1"/>
      <x/>
      <x/>
    </i>
    <i>
      <x v="78"/>
      <x v="1"/>
      <x v="32"/>
      <x v="1"/>
      <x v="52"/>
      <x v="86"/>
      <x v="2"/>
      <x v="3"/>
      <x/>
      <x/>
    </i>
    <i>
      <x v="79"/>
      <x v="1"/>
      <x v="23"/>
      <x v="1"/>
      <x v="10"/>
      <x v="87"/>
      <x/>
      <x v="8"/>
      <x/>
      <x/>
    </i>
    <i>
      <x v="80"/>
      <x v="1"/>
      <x v="33"/>
      <x v="2"/>
      <x v="5"/>
      <x v="88"/>
      <x v="2"/>
      <x v="8"/>
      <x/>
      <x/>
    </i>
    <i>
      <x v="81"/>
      <x v="1"/>
      <x v="8"/>
      <x v="1"/>
      <x v="4"/>
      <x v="89"/>
      <x v="2"/>
      <x v="8"/>
      <x/>
      <x/>
    </i>
    <i>
      <x v="82"/>
      <x v="1"/>
      <x v="16"/>
      <x v="2"/>
      <x v="75"/>
      <x v="90"/>
      <x v="2"/>
      <x v="7"/>
      <x/>
      <x/>
    </i>
    <i>
      <x v="83"/>
      <x v="1"/>
      <x v="4"/>
      <x v="2"/>
      <x v="73"/>
      <x v="91"/>
      <x v="2"/>
      <x v="7"/>
      <x/>
      <x/>
    </i>
    <i>
      <x v="84"/>
      <x v="1"/>
      <x v="4"/>
      <x v="1"/>
      <x v="44"/>
      <x v="45"/>
      <x v="2"/>
      <x v="7"/>
      <x v="1"/>
      <x/>
    </i>
    <i>
      <x v="85"/>
      <x v="1"/>
      <x v="22"/>
      <x v="2"/>
      <x v="88"/>
      <x v="92"/>
      <x v="2"/>
      <x v="7"/>
      <x/>
      <x/>
    </i>
    <i>
      <x v="86"/>
      <x v="1"/>
      <x v="25"/>
      <x v="2"/>
      <x v="15"/>
      <x v="93"/>
      <x/>
      <x v="8"/>
      <x/>
      <x/>
    </i>
    <i>
      <x v="87"/>
      <x v="1"/>
      <x v="36"/>
      <x v="1"/>
      <x v="98"/>
      <x v="81"/>
      <x v="1"/>
      <x/>
      <x/>
      <x/>
    </i>
    <i>
      <x v="88"/>
      <x v="1"/>
      <x v="1"/>
      <x v="2"/>
      <x v="19"/>
      <x v="7"/>
      <x/>
      <x v="8"/>
      <x/>
      <x/>
    </i>
    <i>
      <x v="89"/>
      <x v="1"/>
      <x v="29"/>
      <x v="1"/>
      <x v="116"/>
      <x v="95"/>
      <x v="2"/>
      <x v="7"/>
      <x/>
      <x/>
    </i>
    <i>
      <x v="90"/>
      <x v="1"/>
      <x v="39"/>
      <x v="1"/>
      <x v="54"/>
      <x v="94"/>
      <x v="2"/>
      <x v="7"/>
      <x/>
      <x v="1"/>
    </i>
    <i>
      <x v="91"/>
      <x/>
      <x v="15"/>
      <x v="1"/>
      <x v="48"/>
      <x v="97"/>
      <x/>
      <x v="7"/>
      <x/>
      <x/>
    </i>
    <i>
      <x v="92"/>
      <x v="1"/>
      <x v="38"/>
      <x v="1"/>
      <x v="68"/>
      <x v="98"/>
      <x v="2"/>
      <x v="1"/>
      <x/>
      <x/>
    </i>
    <i>
      <x v="93"/>
      <x v="1"/>
      <x v="16"/>
      <x v="1"/>
      <x v="22"/>
      <x v="144"/>
      <x v="2"/>
      <x v="8"/>
      <x/>
      <x/>
    </i>
    <i>
      <x v="94"/>
      <x/>
      <x v="32"/>
      <x v="1"/>
      <x v="97"/>
      <x v="96"/>
      <x/>
      <x v="2"/>
      <x/>
      <x/>
    </i>
    <i>
      <x v="95"/>
      <x/>
      <x v="14"/>
      <x v="2"/>
      <x v="67"/>
      <x v="99"/>
      <x v="2"/>
      <x v="7"/>
      <x/>
      <x/>
    </i>
    <i>
      <x v="96"/>
      <x v="1"/>
      <x v="32"/>
      <x v="1"/>
      <x v="2"/>
      <x v="100"/>
      <x v="2"/>
      <x v="8"/>
      <x/>
      <x/>
    </i>
    <i>
      <x v="97"/>
      <x v="1"/>
      <x v="19"/>
      <x v="1"/>
      <x v="49"/>
      <x v="101"/>
      <x v="2"/>
      <x v="7"/>
      <x/>
      <x/>
    </i>
    <i>
      <x v="98"/>
      <x v="1"/>
      <x v="30"/>
      <x v="1"/>
      <x v="21"/>
      <x v="12"/>
      <x v="2"/>
      <x v="8"/>
      <x/>
      <x/>
    </i>
    <i>
      <x v="99"/>
      <x v="1"/>
      <x v="8"/>
      <x v="1"/>
      <x v="144"/>
      <x v="103"/>
      <x v="2"/>
      <x v="8"/>
      <x/>
      <x/>
    </i>
    <i>
      <x v="100"/>
      <x v="1"/>
      <x v="35"/>
      <x v="2"/>
      <x v="133"/>
      <x v="104"/>
      <x v="2"/>
      <x v="7"/>
      <x/>
      <x/>
    </i>
    <i>
      <x v="101"/>
      <x v="1"/>
      <x v="25"/>
      <x v="1"/>
      <x/>
      <x v="29"/>
      <x v="2"/>
      <x v="8"/>
      <x/>
      <x/>
    </i>
    <i>
      <x v="102"/>
      <x v="1"/>
      <x v="7"/>
      <x v="1"/>
      <x v="117"/>
      <x v="105"/>
      <x v="2"/>
      <x v="8"/>
      <x/>
      <x/>
    </i>
    <i>
      <x v="103"/>
      <x/>
      <x v="12"/>
      <x v="2"/>
      <x v="96"/>
      <x v="107"/>
      <x v="2"/>
      <x v="7"/>
      <x v="1"/>
      <x/>
    </i>
    <i>
      <x v="104"/>
      <x v="1"/>
      <x v="3"/>
      <x v="2"/>
      <x v="45"/>
      <x v="106"/>
      <x v="2"/>
      <x v="7"/>
      <x/>
      <x/>
    </i>
    <i>
      <x v="105"/>
      <x/>
      <x v="18"/>
      <x v="2"/>
      <x v="24"/>
      <x v="137"/>
      <x/>
      <x v="8"/>
      <x/>
      <x/>
    </i>
    <i>
      <x v="106"/>
      <x v="1"/>
      <x v="19"/>
      <x v="2"/>
      <x v="122"/>
      <x v="108"/>
      <x/>
      <x v="7"/>
      <x/>
      <x/>
    </i>
    <i>
      <x v="107"/>
      <x v="1"/>
      <x v="32"/>
      <x v="2"/>
      <x v="119"/>
      <x v="109"/>
      <x v="2"/>
      <x v="7"/>
      <x/>
      <x/>
    </i>
    <i>
      <x v="108"/>
      <x v="1"/>
      <x v="34"/>
      <x v="2"/>
      <x v="86"/>
      <x v="110"/>
      <x v="2"/>
      <x v="7"/>
      <x/>
      <x/>
    </i>
    <i>
      <x v="109"/>
      <x v="1"/>
      <x/>
      <x v="1"/>
      <x v="120"/>
      <x v="111"/>
      <x v="2"/>
      <x v="8"/>
      <x/>
      <x/>
    </i>
    <i>
      <x v="110"/>
      <x/>
      <x v="37"/>
      <x v="1"/>
      <x v="143"/>
      <x v="112"/>
      <x v="1"/>
      <x v="8"/>
      <x/>
      <x/>
    </i>
    <i>
      <x v="111"/>
      <x v="1"/>
      <x v="25"/>
      <x v="1"/>
      <x v="70"/>
      <x v="113"/>
      <x v="2"/>
      <x v="8"/>
      <x/>
      <x/>
    </i>
    <i>
      <x v="112"/>
      <x/>
      <x/>
      <x v="1"/>
      <x v="102"/>
      <x v="114"/>
      <x/>
      <x v="4"/>
      <x/>
      <x/>
    </i>
    <i>
      <x v="113"/>
      <x v="1"/>
      <x v="28"/>
      <x v="1"/>
      <x v="79"/>
      <x v="115"/>
      <x/>
      <x v="7"/>
      <x/>
      <x/>
    </i>
    <i>
      <x v="114"/>
      <x v="1"/>
      <x v="41"/>
      <x v="1"/>
      <x v="128"/>
      <x v="116"/>
      <x v="2"/>
      <x v="4"/>
      <x/>
      <x v="1"/>
    </i>
    <i>
      <x v="115"/>
      <x/>
      <x v="28"/>
      <x v="2"/>
      <x v="132"/>
      <x v="117"/>
      <x v="2"/>
      <x v="7"/>
      <x/>
      <x/>
    </i>
    <i>
      <x v="116"/>
      <x v="1"/>
      <x v="15"/>
      <x v="1"/>
      <x v="13"/>
      <x v="118"/>
      <x v="1"/>
      <x v="8"/>
      <x/>
      <x/>
    </i>
    <i>
      <x v="117"/>
      <x v="1"/>
      <x v="28"/>
      <x v="2"/>
      <x v="134"/>
      <x v="119"/>
      <x v="2"/>
      <x v="7"/>
      <x/>
      <x/>
    </i>
    <i>
      <x v="118"/>
      <x v="1"/>
      <x v="19"/>
      <x v="1"/>
      <x v="137"/>
      <x v="120"/>
      <x/>
      <x v="7"/>
      <x/>
      <x/>
    </i>
    <i>
      <x v="119"/>
      <x/>
      <x v="5"/>
      <x v="1"/>
      <x v="80"/>
      <x v="121"/>
      <x/>
      <x v="4"/>
      <x/>
      <x/>
    </i>
    <i>
      <x v="120"/>
      <x/>
      <x v="25"/>
      <x v="2"/>
      <x v="77"/>
      <x v="123"/>
      <x/>
      <x v="7"/>
      <x/>
      <x/>
    </i>
    <i>
      <x v="121"/>
      <x v="1"/>
      <x v="31"/>
      <x v="1"/>
      <x v="99"/>
      <x v="125"/>
      <x v="2"/>
      <x v="7"/>
      <x/>
      <x/>
    </i>
    <i>
      <x v="122"/>
      <x v="1"/>
      <x v="2"/>
      <x v="1"/>
      <x v="92"/>
      <x v="23"/>
      <x/>
      <x v="7"/>
      <x/>
      <x/>
    </i>
    <i>
      <x v="123"/>
      <x v="1"/>
      <x v="24"/>
      <x v="1"/>
      <x v="142"/>
      <x v="127"/>
      <x v="2"/>
      <x v="8"/>
      <x/>
      <x/>
    </i>
    <i>
      <x v="124"/>
      <x/>
      <x v="40"/>
      <x v="2"/>
      <x v="100"/>
      <x v="126"/>
      <x v="2"/>
      <x v="1"/>
      <x v="1"/>
      <x v="1"/>
    </i>
    <i>
      <x v="125"/>
      <x v="1"/>
      <x v="20"/>
      <x v="2"/>
      <x v="110"/>
      <x v="16"/>
      <x/>
      <x v="6"/>
      <x/>
      <x/>
    </i>
    <i>
      <x v="126"/>
      <x v="1"/>
      <x v="2"/>
      <x v="1"/>
      <x v="121"/>
      <x v="128"/>
      <x v="2"/>
      <x v="8"/>
      <x/>
      <x/>
    </i>
    <i>
      <x v="127"/>
      <x v="1"/>
      <x v="14"/>
      <x v="1"/>
      <x v="109"/>
      <x v="129"/>
      <x v="2"/>
      <x v="1"/>
      <x/>
      <x/>
    </i>
    <i>
      <x v="128"/>
      <x v="1"/>
      <x v="23"/>
      <x v="2"/>
      <x v="141"/>
      <x v="130"/>
      <x/>
      <x v="7"/>
      <x/>
      <x/>
    </i>
    <i>
      <x v="129"/>
      <x v="1"/>
      <x v="22"/>
      <x v="1"/>
      <x v="112"/>
      <x v="76"/>
      <x v="2"/>
      <x v="6"/>
      <x/>
      <x/>
    </i>
    <i>
      <x v="130"/>
      <x v="1"/>
      <x v="1"/>
      <x v="2"/>
      <x v="28"/>
      <x v="131"/>
      <x v="2"/>
      <x v="8"/>
      <x/>
      <x/>
    </i>
    <i>
      <x v="131"/>
      <x v="1"/>
      <x v="38"/>
      <x v="2"/>
      <x v="138"/>
      <x v="132"/>
      <x v="2"/>
      <x v="7"/>
      <x/>
      <x/>
    </i>
    <i>
      <x v="132"/>
      <x v="1"/>
      <x v="16"/>
      <x v="1"/>
      <x v="113"/>
      <x v="53"/>
      <x/>
      <x v="6"/>
      <x/>
      <x/>
    </i>
    <i>
      <x v="133"/>
      <x v="1"/>
      <x v="9"/>
      <x v="1"/>
      <x v="53"/>
      <x v="135"/>
      <x v="2"/>
      <x v="7"/>
      <x/>
      <x/>
    </i>
    <i>
      <x v="134"/>
      <x v="1"/>
      <x v="37"/>
      <x v="1"/>
      <x v="123"/>
      <x v="136"/>
      <x/>
      <x v="2"/>
      <x/>
      <x/>
    </i>
    <i>
      <x v="135"/>
      <x v="1"/>
      <x v="21"/>
      <x v="2"/>
      <x v="36"/>
      <x v="138"/>
      <x/>
      <x v="8"/>
      <x/>
      <x/>
    </i>
    <i>
      <x v="136"/>
      <x/>
      <x v="21"/>
      <x v="1"/>
      <x v="20"/>
      <x v="124"/>
      <x v="2"/>
      <x v="8"/>
      <x/>
      <x/>
    </i>
    <i>
      <x v="137"/>
      <x v="1"/>
      <x v="37"/>
      <x v="2"/>
      <x v="101"/>
      <x v="133"/>
      <x v="2"/>
      <x v="2"/>
      <x/>
      <x/>
    </i>
    <i>
      <x v="138"/>
      <x/>
      <x v="40"/>
      <x v="2"/>
      <x v="59"/>
      <x v="139"/>
      <x v="1"/>
      <x v="4"/>
      <x/>
      <x v="1"/>
    </i>
    <i>
      <x v="139"/>
      <x/>
      <x v="7"/>
      <x v="1"/>
      <x v="1"/>
      <x v="62"/>
      <x v="1"/>
      <x v="8"/>
      <x/>
      <x/>
    </i>
    <i>
      <x v="140"/>
      <x v="1"/>
      <x v="19"/>
      <x v="1"/>
      <x v="16"/>
      <x v="44"/>
      <x v="1"/>
      <x v="8"/>
      <x/>
      <x/>
    </i>
    <i>
      <x v="141"/>
      <x v="1"/>
      <x v="44"/>
      <x v="2"/>
      <x v="25"/>
      <x v="74"/>
      <x v="1"/>
      <x v="8"/>
      <x/>
      <x v="1"/>
    </i>
    <i>
      <x v="142"/>
      <x v="1"/>
      <x v="5"/>
      <x v="2"/>
      <x v="62"/>
      <x v="140"/>
      <x v="2"/>
      <x/>
      <x/>
      <x/>
    </i>
    <i>
      <x v="143"/>
      <x v="1"/>
      <x v="16"/>
      <x v="2"/>
      <x v="65"/>
      <x v="141"/>
      <x v="2"/>
      <x v="7"/>
      <x/>
      <x/>
    </i>
    <i>
      <x v="144"/>
      <x/>
      <x v="19"/>
      <x v="1"/>
      <x v="118"/>
      <x v="142"/>
      <x/>
      <x v="7"/>
      <x/>
      <x/>
    </i>
    <i>
      <x v="145"/>
      <x v="1"/>
      <x v="32"/>
      <x v="1"/>
      <x v="146"/>
      <x v="122"/>
      <x v="1"/>
      <x v="8"/>
      <x v="1"/>
      <x/>
    </i>
    <i>
      <x v="146"/>
      <x v="1"/>
      <x v="35"/>
      <x v="1"/>
      <x v="40"/>
      <x v="143"/>
      <x v="2"/>
      <x v="8"/>
      <x/>
      <x/>
    </i>
    <i>
      <x v="147"/>
      <x v="1"/>
      <x v="15"/>
      <x/>
      <x v="71"/>
      <x v="145"/>
      <x/>
      <x v="7"/>
      <x/>
      <x/>
    </i>
    <i>
      <x v="148"/>
      <x/>
      <x v="43"/>
      <x v="1"/>
      <x v="74"/>
      <x v="58"/>
      <x/>
      <x v="7"/>
      <x/>
      <x v="1"/>
    </i>
    <i>
      <x v="149"/>
      <x/>
      <x v="31"/>
      <x v="2"/>
      <x v="88"/>
      <x v="92"/>
      <x/>
      <x v="7"/>
      <x v="1"/>
      <x/>
    </i>
    <i>
      <x v="150"/>
      <x/>
      <x v="43"/>
      <x v="1"/>
      <x v="126"/>
      <x v="9"/>
      <x/>
      <x v="7"/>
      <x/>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500A5A-95E1-4577-9101-DDC84BB798F3}" autoFormatId="16" applyNumberFormats="0" applyBorderFormats="0" applyFontFormats="0" applyPatternFormats="0" applyAlignmentFormats="0" applyWidthHeightFormats="0">
  <queryTableRefresh nextId="18">
    <queryTableFields count="17">
      <queryTableField id="1" name="Employee_name" tableColumnId="1"/>
      <queryTableField id="2" name="Employee_firstname" tableColumnId="2"/>
      <queryTableField id="3" name="Employee_lastname" tableColumnId="3"/>
      <queryTableField id="17" dataBound="0" tableColumnId="17"/>
      <queryTableField id="4" name="gender" tableColumnId="4"/>
      <queryTableField id="5" name="Age" tableColumnId="5"/>
      <queryTableField id="6" name="Employee_status" tableColumnId="6"/>
      <queryTableField id="7" name="Religion" tableColumnId="7"/>
      <queryTableField id="8" name="Department" tableColumnId="8"/>
      <queryTableField id="9" name="Designation" tableColumnId="9"/>
      <queryTableField id="10" name="Job Level" tableColumnId="10"/>
      <queryTableField id="11" name="Cost Center" tableColumnId="11"/>
      <queryTableField id="12" name="Location" tableColumnId="12"/>
      <queryTableField id="13" name="Office Tel" tableColumnId="13"/>
      <queryTableField id="14" name="Email" tableColumnId="14"/>
      <queryTableField id="15" name="Age_range" tableColumnId="15"/>
      <queryTableField id="16" name="Employee_review"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 xr10:uid="{7DA5DAC1-0B0C-48F8-8224-E0E115DA2148}" sourceName="Employee_status">
  <pivotTables>
    <pivotTable tabId="6" name="Job_level"/>
    <pivotTable tabId="6" name="Age_range"/>
    <pivotTable tabId="6" name="department"/>
    <pivotTable tabId="6" name="Designation"/>
    <pivotTable tabId="6" name="Distribution_center"/>
    <pivotTable tabId="6" name="Employee_status"/>
    <pivotTable tabId="6" name="gender"/>
    <pivotTable tabId="6" name="location"/>
    <pivotTable tabId="6" name="Religion"/>
    <pivotTable tabId="6" name="status"/>
  </pivotTables>
  <data>
    <tabular pivotCacheId="15123504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BE97F5D2-0CF3-4CD7-BC40-E44F75F102C1}" sourceName="Distribution Center">
  <pivotTables>
    <pivotTable tabId="6" name="Job_level"/>
    <pivotTable tabId="6" name="Age_range"/>
    <pivotTable tabId="6" name="department"/>
    <pivotTable tabId="6" name="Designation"/>
    <pivotTable tabId="6" name="Distribution_center"/>
    <pivotTable tabId="6" name="Employee_review"/>
    <pivotTable tabId="6" name="Employee_status"/>
    <pivotTable tabId="6" name="gender"/>
    <pivotTable tabId="6" name="location"/>
    <pivotTable tabId="6" name="Religion"/>
    <pivotTable tabId="6" name="status"/>
  </pivotTables>
  <data>
    <tabular pivotCacheId="15123504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review" xr10:uid="{8C909AF7-A6E3-471E-8594-747B4374BB27}" sourceName="Employee_review">
  <pivotTables>
    <pivotTable tabId="6" name="Job_level"/>
    <pivotTable tabId="6" name="Age_range"/>
    <pivotTable tabId="6" name="department"/>
    <pivotTable tabId="6" name="Designation"/>
    <pivotTable tabId="6" name="Distribution_center"/>
    <pivotTable tabId="6" name="Employee_review"/>
    <pivotTable tabId="6" name="Employee_status"/>
    <pivotTable tabId="6" name="gender"/>
    <pivotTable tabId="6" name="location"/>
    <pivotTable tabId="6" name="Religion"/>
    <pivotTable tabId="6" name="status"/>
    <pivotTable tabId="6" name="Total_Employee"/>
  </pivotTables>
  <data>
    <tabular pivotCacheId="15123504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_status" xr10:uid="{5730A38C-90FC-4793-ADB0-5B3CC40CBE07}" cache="Slicer_Employee_status" caption="Employee_status" showCaption="0" style="SlicerStyleLight1 2" rowHeight="241300"/>
  <slicer name="Distribution Center" xr10:uid="{147A01EE-7B9A-4008-B160-AC21FC4EB277}" cache="Slicer_Distribution_Center" caption="Distribution Center" showCaption="0" style="SlicerStyleLight1 2" rowHeight="241300"/>
  <slicer name="Employee_review" xr10:uid="{E2D4FF6E-5A3D-4014-B668-8E51F865A9F7}" cache="Slicer_Employee_review" caption="Employee_review" showCaption="0"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D0640-444D-4D31-A3FB-A8CAD62A5B94}" name="Table1" displayName="Table1" ref="B1:O152" totalsRowShown="0" headerRowDxfId="91" dataDxfId="90">
  <autoFilter ref="B1:O152" xr:uid="{D9AD0640-444D-4D31-A3FB-A8CAD62A5B94}">
    <filterColumn colId="0">
      <filters>
        <filter val="Mansour Yahya Saad"/>
      </filters>
    </filterColumn>
  </autoFilter>
  <tableColumns count="14">
    <tableColumn id="1" xr3:uid="{1FE1B4D4-E58F-498E-82D7-2DFFA7359560}" name="Employee_name" dataDxfId="89">
      <calculatedColumnFormula>LEFT(O2,FIND("@",O2)-1)</calculatedColumnFormula>
    </tableColumn>
    <tableColumn id="2" xr3:uid="{04FF0C17-87EF-441D-A06E-B26CDDCFECBA}" name="Employee_firstname" dataDxfId="88"/>
    <tableColumn id="3" xr3:uid="{17B7EBE9-6C77-48E9-BD04-42DA70E14BD1}" name="Employee_lastname" dataDxfId="87"/>
    <tableColumn id="11" xr3:uid="{92545DB4-B585-4E6E-9D1A-7E18AB39E350}" name="gender" dataDxfId="86"/>
    <tableColumn id="12" xr3:uid="{B71651A9-E1A3-4FC9-BCC4-D00A3092BDA7}" name="Age" dataDxfId="85">
      <calculatedColumnFormula>RANDBETWEEN(25, 69)</calculatedColumnFormula>
    </tableColumn>
    <tableColumn id="15" xr3:uid="{EBEE2018-8428-4919-8FD2-89BB504CF18E}" name="Employee_status" dataDxfId="84"/>
    <tableColumn id="14" xr3:uid="{661A2F83-3AAB-4D4B-BCC7-5BEB50F859F3}" name="Religion" dataDxfId="83"/>
    <tableColumn id="4" xr3:uid="{8644C206-F507-4027-9ABB-B7F965F20B27}" name="Department" dataDxfId="82"/>
    <tableColumn id="5" xr3:uid="{2496C51A-D61D-489A-9353-1C06E0A66FE0}" name="Designation" dataDxfId="81"/>
    <tableColumn id="6" xr3:uid="{6103ECA0-8C20-4535-9BEC-4E7BD64F60F7}" name="Job Level" dataDxfId="80"/>
    <tableColumn id="7" xr3:uid="{4628311D-9E40-4269-BBFC-FA6A3723473F}" name="Cost Center" dataDxfId="79"/>
    <tableColumn id="8" xr3:uid="{29FB084D-4F47-4DD5-ADFA-3575FF448D4B}" name="Location" dataDxfId="78"/>
    <tableColumn id="9" xr3:uid="{8EF57971-51C1-4BF1-8869-793C84939C6A}" name="Office Tel" dataDxfId="77"/>
    <tableColumn id="10" xr3:uid="{38BB868A-4E40-420E-8248-C05F5F936E42}" name="Email" dataDxfId="7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FB8D79-4E77-476D-AD1F-37EF0D7AB36B}" name="hrdata" displayName="hrdata" ref="B3:R154" tableType="queryTable" totalsRowShown="0" headerRowDxfId="75" dataDxfId="73" headerRowBorderDxfId="74">
  <autoFilter ref="B3:R154" xr:uid="{85FB8D79-4E77-476D-AD1F-37EF0D7AB36B}"/>
  <tableColumns count="17">
    <tableColumn id="1" xr3:uid="{4CE2EA34-03BC-4662-B116-8BDCA62D66EE}" uniqueName="1" name="Employee_name" queryTableFieldId="1" dataDxfId="72"/>
    <tableColumn id="2" xr3:uid="{01C99ABD-52D2-49A5-BB72-0C3DC26F20E7}" uniqueName="2" name="Employee_firstname" queryTableFieldId="2" dataDxfId="71"/>
    <tableColumn id="3" xr3:uid="{29FF71E3-2A4B-492F-90D9-A6B60B6AF14E}" uniqueName="3" name="Employee_lastname" queryTableFieldId="3" dataDxfId="70"/>
    <tableColumn id="17" xr3:uid="{FA193ED5-D588-4E25-AD7F-DF93797ABB4B}" uniqueName="17" name="Status" queryTableFieldId="17" dataDxfId="69"/>
    <tableColumn id="4" xr3:uid="{206BE647-4A3B-44B2-BEA9-EE05231BC2B3}" uniqueName="4" name="gender" queryTableFieldId="4" dataDxfId="68"/>
    <tableColumn id="5" xr3:uid="{B1C11612-AB7C-4209-A675-9BAE2F8AA9E6}" uniqueName="5" name="Age" queryTableFieldId="5" dataDxfId="67"/>
    <tableColumn id="6" xr3:uid="{300262C4-C8D8-4BFF-8D62-6048DB99F475}" uniqueName="6" name="Employee_status" queryTableFieldId="6" dataDxfId="66"/>
    <tableColumn id="7" xr3:uid="{69D845BF-258B-4BEC-99A4-29362D51083B}" uniqueName="7" name="Religion" queryTableFieldId="7" dataDxfId="65"/>
    <tableColumn id="8" xr3:uid="{F97EAB02-FE72-415C-840D-184643ED669D}" uniqueName="8" name="Department" queryTableFieldId="8" dataDxfId="64"/>
    <tableColumn id="9" xr3:uid="{24087B29-7588-4FEE-A6B4-AA235FD8CF8B}" uniqueName="9" name="Designation" queryTableFieldId="9" dataDxfId="63"/>
    <tableColumn id="10" xr3:uid="{BF7CCF0F-268D-4BB8-9575-7FDAC6A6888D}" uniqueName="10" name="Job Level" queryTableFieldId="10" dataDxfId="62"/>
    <tableColumn id="11" xr3:uid="{12EE8A3E-24F7-4EA0-B716-407015FC2A51}" uniqueName="11" name="Distribution Center" queryTableFieldId="11" dataDxfId="61"/>
    <tableColumn id="12" xr3:uid="{2FF9BEDB-8A3A-4037-AF0D-F29171702C4A}" uniqueName="12" name="Location" queryTableFieldId="12" dataDxfId="60"/>
    <tableColumn id="13" xr3:uid="{DB59709E-35DB-47C4-ABE7-9D3AB398B262}" uniqueName="13" name="Office Tel" queryTableFieldId="13" dataDxfId="59"/>
    <tableColumn id="14" xr3:uid="{8094CC37-CC3E-4A49-8EDD-D3D499DC470B}" uniqueName="14" name="Email" queryTableFieldId="14" dataDxfId="58"/>
    <tableColumn id="15" xr3:uid="{5285EFED-E92E-4844-AAC4-3208A55993F9}" uniqueName="15" name="Age_range" queryTableFieldId="15" dataDxfId="57"/>
    <tableColumn id="16" xr3:uid="{6098C1FE-E274-4C89-9BA2-8C8E7D1BA661}" uniqueName="16" name="Employee_review" queryTableFieldId="16" dataDxfId="5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adija.KamalT@Rare.com" TargetMode="External"/><Relationship Id="rId7" Type="http://schemas.openxmlformats.org/officeDocument/2006/relationships/table" Target="../tables/table1.xml"/><Relationship Id="rId2" Type="http://schemas.openxmlformats.org/officeDocument/2006/relationships/hyperlink" Target="mailto:Salisu.MuhammedBala@Rare.com" TargetMode="External"/><Relationship Id="rId1" Type="http://schemas.openxmlformats.org/officeDocument/2006/relationships/hyperlink" Target="mailto:Femi.AdeKabil@Rare.com" TargetMode="External"/><Relationship Id="rId6" Type="http://schemas.openxmlformats.org/officeDocument/2006/relationships/hyperlink" Target="mailto:JenetOlawole.Titilomo@Rare.com" TargetMode="External"/><Relationship Id="rId5" Type="http://schemas.openxmlformats.org/officeDocument/2006/relationships/hyperlink" Target="mailto:IsmailOmeiza.Mumin@Rare.com" TargetMode="External"/><Relationship Id="rId4" Type="http://schemas.openxmlformats.org/officeDocument/2006/relationships/hyperlink" Target="mailto:Matthew.SamPraise@Rare.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3C99-BF62-49A8-9F6B-668F4FF7BB89}">
  <sheetPr codeName="Sheet2"/>
  <dimension ref="A1:Q1000"/>
  <sheetViews>
    <sheetView zoomScaleNormal="100" workbookViewId="0">
      <selection activeCell="B173" sqref="B173"/>
    </sheetView>
  </sheetViews>
  <sheetFormatPr defaultColWidth="14.453125" defaultRowHeight="14.5" x14ac:dyDescent="0.35"/>
  <cols>
    <col min="2" max="2" width="18" customWidth="1"/>
    <col min="3" max="3" width="21.54296875" customWidth="1"/>
    <col min="4" max="8" width="21.1796875" customWidth="1"/>
    <col min="9" max="9" width="21.26953125" customWidth="1"/>
    <col min="10" max="10" width="15.1796875" customWidth="1"/>
    <col min="11" max="11" width="13" customWidth="1"/>
    <col min="12" max="12" width="15.7265625" customWidth="1"/>
    <col min="13" max="13" width="10.54296875" customWidth="1"/>
    <col min="14" max="14" width="18" customWidth="1"/>
    <col min="15" max="15" width="31.81640625" customWidth="1"/>
    <col min="16" max="18" width="8.7265625" customWidth="1"/>
  </cols>
  <sheetData>
    <row r="1" spans="1:17" ht="26.25" customHeight="1" x14ac:dyDescent="0.45">
      <c r="A1" t="s">
        <v>715</v>
      </c>
      <c r="B1" s="4" t="s">
        <v>708</v>
      </c>
      <c r="C1" s="4" t="s">
        <v>709</v>
      </c>
      <c r="D1" s="4" t="s">
        <v>710</v>
      </c>
      <c r="E1" s="4" t="s">
        <v>711</v>
      </c>
      <c r="F1" s="4" t="s">
        <v>712</v>
      </c>
      <c r="G1" s="4" t="s">
        <v>714</v>
      </c>
      <c r="H1" s="4" t="s">
        <v>713</v>
      </c>
      <c r="I1" s="4" t="s">
        <v>0</v>
      </c>
      <c r="J1" s="4" t="s">
        <v>1</v>
      </c>
      <c r="K1" s="4" t="s">
        <v>2</v>
      </c>
      <c r="L1" s="4" t="s">
        <v>3</v>
      </c>
      <c r="M1" s="4" t="s">
        <v>4</v>
      </c>
      <c r="N1" s="4" t="s">
        <v>5</v>
      </c>
      <c r="O1" s="4" t="s">
        <v>6</v>
      </c>
      <c r="P1" s="5"/>
      <c r="Q1" s="5"/>
    </row>
    <row r="2" spans="1:17" hidden="1" x14ac:dyDescent="0.35">
      <c r="A2">
        <v>1</v>
      </c>
      <c r="B2" s="1" t="s">
        <v>7</v>
      </c>
      <c r="C2" s="1" t="s">
        <v>663</v>
      </c>
      <c r="D2" s="1" t="s">
        <v>671</v>
      </c>
      <c r="E2" s="2" t="s">
        <v>124</v>
      </c>
      <c r="F2" s="2">
        <f ca="1">RANDBETWEEN(25, 69)</f>
        <v>66</v>
      </c>
      <c r="G2" s="2" t="s">
        <v>127</v>
      </c>
      <c r="H2" s="2" t="s">
        <v>125</v>
      </c>
      <c r="I2" s="2" t="s">
        <v>8</v>
      </c>
      <c r="J2" s="2" t="s">
        <v>9</v>
      </c>
      <c r="K2" s="2" t="s">
        <v>10</v>
      </c>
      <c r="L2" s="2" t="s">
        <v>11</v>
      </c>
      <c r="M2" s="2" t="s">
        <v>12</v>
      </c>
      <c r="N2" s="2" t="s">
        <v>13</v>
      </c>
      <c r="O2" s="2" t="s">
        <v>14</v>
      </c>
    </row>
    <row r="3" spans="1:17" hidden="1" x14ac:dyDescent="0.35">
      <c r="A3">
        <v>2</v>
      </c>
      <c r="B3" s="1" t="s">
        <v>15</v>
      </c>
      <c r="C3" s="1" t="s">
        <v>664</v>
      </c>
      <c r="D3" s="1" t="s">
        <v>671</v>
      </c>
      <c r="E3" s="2" t="s">
        <v>124</v>
      </c>
      <c r="F3" s="2">
        <f t="shared" ref="F3:F33" ca="1" si="0">RANDBETWEEN(25, 69)</f>
        <v>26</v>
      </c>
      <c r="G3" s="2" t="s">
        <v>132</v>
      </c>
      <c r="H3" s="2" t="s">
        <v>125</v>
      </c>
      <c r="I3" s="2" t="s">
        <v>16</v>
      </c>
      <c r="J3" s="2" t="s">
        <v>17</v>
      </c>
      <c r="K3" s="2" t="s">
        <v>18</v>
      </c>
      <c r="L3" s="2" t="s">
        <v>19</v>
      </c>
      <c r="M3" s="2" t="s">
        <v>20</v>
      </c>
      <c r="N3" s="2" t="s">
        <v>21</v>
      </c>
      <c r="O3" s="2" t="s">
        <v>22</v>
      </c>
    </row>
    <row r="4" spans="1:17" hidden="1" x14ac:dyDescent="0.35">
      <c r="A4">
        <v>3</v>
      </c>
      <c r="B4" s="1" t="s">
        <v>23</v>
      </c>
      <c r="C4" s="1" t="s">
        <v>23</v>
      </c>
      <c r="D4" s="1" t="s">
        <v>23</v>
      </c>
      <c r="E4" s="2" t="s">
        <v>139</v>
      </c>
      <c r="F4" s="2">
        <f t="shared" ca="1" si="0"/>
        <v>49</v>
      </c>
      <c r="G4" s="2" t="s">
        <v>127</v>
      </c>
      <c r="H4" s="2" t="s">
        <v>125</v>
      </c>
      <c r="I4" s="2" t="s">
        <v>16</v>
      </c>
      <c r="J4" s="2" t="s">
        <v>24</v>
      </c>
      <c r="K4" s="2" t="s">
        <v>18</v>
      </c>
      <c r="L4" s="2" t="s">
        <v>25</v>
      </c>
      <c r="M4" s="2" t="s">
        <v>26</v>
      </c>
      <c r="N4" s="2" t="s">
        <v>27</v>
      </c>
      <c r="O4" s="2" t="s">
        <v>28</v>
      </c>
    </row>
    <row r="5" spans="1:17" hidden="1" x14ac:dyDescent="0.35">
      <c r="A5">
        <v>4</v>
      </c>
      <c r="B5" s="1" t="s">
        <v>29</v>
      </c>
      <c r="C5" s="1" t="s">
        <v>29</v>
      </c>
      <c r="D5" s="1" t="s">
        <v>29</v>
      </c>
      <c r="E5" s="2" t="s">
        <v>124</v>
      </c>
      <c r="F5" s="2">
        <f t="shared" ca="1" si="0"/>
        <v>59</v>
      </c>
      <c r="G5" s="2" t="s">
        <v>127</v>
      </c>
      <c r="H5" s="2" t="s">
        <v>145</v>
      </c>
      <c r="I5" s="2" t="s">
        <v>16</v>
      </c>
      <c r="J5" s="2" t="s">
        <v>10</v>
      </c>
      <c r="K5" s="2" t="s">
        <v>10</v>
      </c>
      <c r="L5" s="2" t="s">
        <v>25</v>
      </c>
      <c r="M5" s="2" t="s">
        <v>26</v>
      </c>
      <c r="N5" s="2" t="s">
        <v>30</v>
      </c>
      <c r="O5" s="2" t="s">
        <v>31</v>
      </c>
    </row>
    <row r="6" spans="1:17" hidden="1" x14ac:dyDescent="0.35">
      <c r="A6">
        <v>5</v>
      </c>
      <c r="B6" s="1" t="s">
        <v>32</v>
      </c>
      <c r="C6" s="1" t="s">
        <v>32</v>
      </c>
      <c r="D6" s="1" t="s">
        <v>32</v>
      </c>
      <c r="E6" s="2" t="s">
        <v>139</v>
      </c>
      <c r="F6" s="2">
        <f t="shared" ca="1" si="0"/>
        <v>67</v>
      </c>
      <c r="G6" s="2" t="s">
        <v>127</v>
      </c>
      <c r="H6" s="2" t="s">
        <v>149</v>
      </c>
      <c r="I6" s="2" t="s">
        <v>33</v>
      </c>
      <c r="J6" s="2" t="s">
        <v>34</v>
      </c>
      <c r="K6" s="2" t="s">
        <v>18</v>
      </c>
      <c r="L6" s="2" t="s">
        <v>25</v>
      </c>
      <c r="M6" s="2" t="s">
        <v>35</v>
      </c>
      <c r="N6" s="2" t="s">
        <v>36</v>
      </c>
      <c r="O6" s="2" t="s">
        <v>37</v>
      </c>
    </row>
    <row r="7" spans="1:17" hidden="1" x14ac:dyDescent="0.35">
      <c r="A7">
        <v>6</v>
      </c>
      <c r="B7" s="1" t="s">
        <v>38</v>
      </c>
      <c r="C7" s="1" t="s">
        <v>38</v>
      </c>
      <c r="D7" s="1" t="s">
        <v>38</v>
      </c>
      <c r="E7" s="2" t="s">
        <v>124</v>
      </c>
      <c r="F7" s="2">
        <f t="shared" ca="1" si="0"/>
        <v>36</v>
      </c>
      <c r="G7" s="2" t="s">
        <v>127</v>
      </c>
      <c r="H7" s="2" t="s">
        <v>145</v>
      </c>
      <c r="I7" s="2" t="s">
        <v>39</v>
      </c>
      <c r="J7" s="2" t="s">
        <v>10</v>
      </c>
      <c r="K7" s="2" t="s">
        <v>10</v>
      </c>
      <c r="L7" s="2" t="s">
        <v>11</v>
      </c>
      <c r="M7" s="2" t="s">
        <v>35</v>
      </c>
      <c r="N7" s="2" t="s">
        <v>40</v>
      </c>
      <c r="O7" s="2" t="s">
        <v>41</v>
      </c>
    </row>
    <row r="8" spans="1:17" hidden="1" x14ac:dyDescent="0.35">
      <c r="A8">
        <v>7</v>
      </c>
      <c r="B8" s="1" t="s">
        <v>42</v>
      </c>
      <c r="C8" s="1" t="s">
        <v>42</v>
      </c>
      <c r="D8" s="1" t="s">
        <v>42</v>
      </c>
      <c r="E8" s="2" t="s">
        <v>124</v>
      </c>
      <c r="F8" s="2">
        <f t="shared" ca="1" si="0"/>
        <v>53</v>
      </c>
      <c r="G8" s="2" t="s">
        <v>127</v>
      </c>
      <c r="H8" s="2" t="s">
        <v>125</v>
      </c>
      <c r="I8" s="2" t="s">
        <v>43</v>
      </c>
      <c r="J8" s="2" t="s">
        <v>34</v>
      </c>
      <c r="K8" s="2" t="s">
        <v>18</v>
      </c>
      <c r="L8" s="2" t="s">
        <v>11</v>
      </c>
      <c r="M8" s="2" t="s">
        <v>35</v>
      </c>
      <c r="N8" s="2" t="s">
        <v>44</v>
      </c>
      <c r="O8" s="2" t="s">
        <v>45</v>
      </c>
    </row>
    <row r="9" spans="1:17" hidden="1" x14ac:dyDescent="0.35">
      <c r="A9">
        <v>8</v>
      </c>
      <c r="B9" s="1" t="s">
        <v>46</v>
      </c>
      <c r="C9" s="1" t="s">
        <v>46</v>
      </c>
      <c r="D9" s="1" t="s">
        <v>46</v>
      </c>
      <c r="E9" s="2" t="s">
        <v>139</v>
      </c>
      <c r="F9" s="2">
        <f t="shared" ca="1" si="0"/>
        <v>54</v>
      </c>
      <c r="G9" s="2" t="s">
        <v>127</v>
      </c>
      <c r="H9" s="2" t="s">
        <v>149</v>
      </c>
      <c r="I9" s="2" t="s">
        <v>16</v>
      </c>
      <c r="J9" s="2" t="s">
        <v>17</v>
      </c>
      <c r="K9" s="2" t="s">
        <v>18</v>
      </c>
      <c r="L9" s="2" t="s">
        <v>19</v>
      </c>
      <c r="M9" s="2" t="s">
        <v>47</v>
      </c>
      <c r="N9" s="2" t="s">
        <v>48</v>
      </c>
      <c r="O9" s="2" t="s">
        <v>49</v>
      </c>
    </row>
    <row r="10" spans="1:17" hidden="1" x14ac:dyDescent="0.35">
      <c r="A10">
        <v>9</v>
      </c>
      <c r="B10" s="1" t="s">
        <v>50</v>
      </c>
      <c r="C10" s="1" t="s">
        <v>665</v>
      </c>
      <c r="D10" s="1" t="s">
        <v>671</v>
      </c>
      <c r="E10" s="2" t="s">
        <v>124</v>
      </c>
      <c r="F10" s="2">
        <f t="shared" ca="1" si="0"/>
        <v>26</v>
      </c>
      <c r="G10" s="2" t="s">
        <v>132</v>
      </c>
      <c r="H10" s="2" t="s">
        <v>125</v>
      </c>
      <c r="I10" s="2" t="s">
        <v>51</v>
      </c>
      <c r="J10" s="2" t="s">
        <v>17</v>
      </c>
      <c r="K10" s="2" t="s">
        <v>18</v>
      </c>
      <c r="L10" s="2" t="s">
        <v>19</v>
      </c>
      <c r="M10" s="2" t="s">
        <v>12</v>
      </c>
      <c r="N10" s="2" t="s">
        <v>52</v>
      </c>
      <c r="O10" s="2" t="s">
        <v>53</v>
      </c>
    </row>
    <row r="11" spans="1:17" hidden="1" x14ac:dyDescent="0.35">
      <c r="A11">
        <v>10</v>
      </c>
      <c r="B11" s="1" t="s">
        <v>54</v>
      </c>
      <c r="C11" s="1" t="s">
        <v>666</v>
      </c>
      <c r="D11" s="1" t="s">
        <v>672</v>
      </c>
      <c r="E11" s="2" t="s">
        <v>124</v>
      </c>
      <c r="F11" s="2">
        <f t="shared" ca="1" si="0"/>
        <v>39</v>
      </c>
      <c r="G11" s="2" t="s">
        <v>127</v>
      </c>
      <c r="H11" s="2" t="s">
        <v>125</v>
      </c>
      <c r="I11" s="2" t="s">
        <v>8</v>
      </c>
      <c r="J11" s="2" t="s">
        <v>55</v>
      </c>
      <c r="K11" s="2" t="s">
        <v>10</v>
      </c>
      <c r="L11" s="2" t="s">
        <v>11</v>
      </c>
      <c r="M11" s="2" t="s">
        <v>35</v>
      </c>
      <c r="N11" s="2" t="s">
        <v>56</v>
      </c>
      <c r="O11" s="2" t="s">
        <v>57</v>
      </c>
    </row>
    <row r="12" spans="1:17" hidden="1" x14ac:dyDescent="0.35">
      <c r="A12">
        <v>11</v>
      </c>
      <c r="B12" s="1" t="s">
        <v>58</v>
      </c>
      <c r="C12" s="1" t="s">
        <v>58</v>
      </c>
      <c r="D12" s="1" t="s">
        <v>58</v>
      </c>
      <c r="E12" s="2" t="s">
        <v>124</v>
      </c>
      <c r="F12" s="2">
        <f t="shared" ca="1" si="0"/>
        <v>43</v>
      </c>
      <c r="G12" s="2" t="s">
        <v>127</v>
      </c>
      <c r="H12" s="2" t="s">
        <v>149</v>
      </c>
      <c r="I12" s="2" t="s">
        <v>33</v>
      </c>
      <c r="J12" s="2" t="s">
        <v>10</v>
      </c>
      <c r="K12" s="2" t="s">
        <v>10</v>
      </c>
      <c r="L12" s="2" t="s">
        <v>11</v>
      </c>
      <c r="M12" s="2" t="s">
        <v>35</v>
      </c>
      <c r="N12" s="2" t="s">
        <v>59</v>
      </c>
      <c r="O12" s="2" t="s">
        <v>60</v>
      </c>
    </row>
    <row r="13" spans="1:17" hidden="1" x14ac:dyDescent="0.35">
      <c r="A13">
        <v>12</v>
      </c>
      <c r="B13" s="1" t="s">
        <v>61</v>
      </c>
      <c r="C13" s="1" t="s">
        <v>61</v>
      </c>
      <c r="D13" s="1" t="s">
        <v>61</v>
      </c>
      <c r="E13" s="2" t="s">
        <v>124</v>
      </c>
      <c r="F13" s="2">
        <f t="shared" ca="1" si="0"/>
        <v>26</v>
      </c>
      <c r="G13" s="2" t="s">
        <v>127</v>
      </c>
      <c r="H13" s="2" t="s">
        <v>125</v>
      </c>
      <c r="I13" s="2" t="s">
        <v>62</v>
      </c>
      <c r="J13" s="2" t="s">
        <v>63</v>
      </c>
      <c r="K13" s="2" t="s">
        <v>10</v>
      </c>
      <c r="L13" s="2" t="s">
        <v>25</v>
      </c>
      <c r="M13" s="2" t="s">
        <v>35</v>
      </c>
      <c r="N13" s="2" t="s">
        <v>64</v>
      </c>
      <c r="O13" s="2" t="s">
        <v>65</v>
      </c>
    </row>
    <row r="14" spans="1:17" hidden="1" x14ac:dyDescent="0.35">
      <c r="A14">
        <v>13</v>
      </c>
      <c r="B14" s="1" t="s">
        <v>66</v>
      </c>
      <c r="C14" s="1" t="s">
        <v>66</v>
      </c>
      <c r="D14" s="1" t="s">
        <v>66</v>
      </c>
      <c r="E14" s="2" t="s">
        <v>124</v>
      </c>
      <c r="F14" s="2">
        <f t="shared" ca="1" si="0"/>
        <v>34</v>
      </c>
      <c r="G14" s="2" t="s">
        <v>127</v>
      </c>
      <c r="H14" s="2" t="s">
        <v>125</v>
      </c>
      <c r="I14" s="2" t="s">
        <v>62</v>
      </c>
      <c r="J14" s="2" t="s">
        <v>63</v>
      </c>
      <c r="K14" s="2" t="s">
        <v>10</v>
      </c>
      <c r="L14" s="2" t="s">
        <v>19</v>
      </c>
      <c r="M14" s="2" t="s">
        <v>12</v>
      </c>
      <c r="N14" s="2" t="s">
        <v>67</v>
      </c>
      <c r="O14" s="2" t="s">
        <v>68</v>
      </c>
    </row>
    <row r="15" spans="1:17" hidden="1" x14ac:dyDescent="0.35">
      <c r="A15">
        <v>14</v>
      </c>
      <c r="B15" s="1" t="s">
        <v>69</v>
      </c>
      <c r="C15" s="1" t="s">
        <v>667</v>
      </c>
      <c r="D15" s="1" t="s">
        <v>671</v>
      </c>
      <c r="E15" s="2" t="s">
        <v>139</v>
      </c>
      <c r="F15" s="2">
        <f t="shared" ca="1" si="0"/>
        <v>27</v>
      </c>
      <c r="G15" s="2" t="s">
        <v>127</v>
      </c>
      <c r="H15" s="2" t="s">
        <v>125</v>
      </c>
      <c r="I15" s="2" t="s">
        <v>8</v>
      </c>
      <c r="J15" s="2" t="s">
        <v>9</v>
      </c>
      <c r="K15" s="2" t="s">
        <v>10</v>
      </c>
      <c r="L15" s="2" t="s">
        <v>11</v>
      </c>
      <c r="M15" s="2" t="s">
        <v>35</v>
      </c>
      <c r="N15" s="2" t="s">
        <v>70</v>
      </c>
      <c r="O15" s="2" t="s">
        <v>71</v>
      </c>
    </row>
    <row r="16" spans="1:17" hidden="1" x14ac:dyDescent="0.35">
      <c r="A16">
        <v>15</v>
      </c>
      <c r="B16" s="1" t="s">
        <v>72</v>
      </c>
      <c r="C16" s="1" t="s">
        <v>72</v>
      </c>
      <c r="D16" s="1" t="s">
        <v>72</v>
      </c>
      <c r="E16" s="2" t="s">
        <v>124</v>
      </c>
      <c r="F16" s="2">
        <f t="shared" ca="1" si="0"/>
        <v>58</v>
      </c>
      <c r="G16" s="2" t="s">
        <v>127</v>
      </c>
      <c r="H16" s="2" t="s">
        <v>125</v>
      </c>
      <c r="I16" s="2" t="s">
        <v>43</v>
      </c>
      <c r="J16" s="2" t="s">
        <v>34</v>
      </c>
      <c r="K16" s="2" t="s">
        <v>18</v>
      </c>
      <c r="L16" s="2" t="s">
        <v>25</v>
      </c>
      <c r="M16" s="2" t="s">
        <v>35</v>
      </c>
      <c r="N16" s="2" t="s">
        <v>73</v>
      </c>
      <c r="O16" s="2" t="s">
        <v>74</v>
      </c>
    </row>
    <row r="17" spans="1:15" hidden="1" x14ac:dyDescent="0.35">
      <c r="A17">
        <v>16</v>
      </c>
      <c r="B17" s="1" t="s">
        <v>75</v>
      </c>
      <c r="C17" s="1" t="s">
        <v>75</v>
      </c>
      <c r="D17" s="1" t="s">
        <v>75</v>
      </c>
      <c r="E17" s="2" t="s">
        <v>124</v>
      </c>
      <c r="F17" s="2">
        <f t="shared" ca="1" si="0"/>
        <v>31</v>
      </c>
      <c r="G17" s="2" t="s">
        <v>132</v>
      </c>
      <c r="H17" s="2" t="s">
        <v>125</v>
      </c>
      <c r="I17" s="2" t="s">
        <v>62</v>
      </c>
      <c r="J17" s="2" t="s">
        <v>10</v>
      </c>
      <c r="K17" s="2" t="s">
        <v>10</v>
      </c>
      <c r="L17" s="2" t="s">
        <v>19</v>
      </c>
      <c r="M17" s="2" t="s">
        <v>12</v>
      </c>
      <c r="N17" s="2" t="s">
        <v>76</v>
      </c>
      <c r="O17" s="2" t="s">
        <v>77</v>
      </c>
    </row>
    <row r="18" spans="1:15" hidden="1" x14ac:dyDescent="0.35">
      <c r="A18">
        <v>17</v>
      </c>
      <c r="B18" s="1" t="s">
        <v>78</v>
      </c>
      <c r="C18" s="1" t="s">
        <v>78</v>
      </c>
      <c r="D18" s="1" t="s">
        <v>78</v>
      </c>
      <c r="E18" s="2" t="s">
        <v>124</v>
      </c>
      <c r="F18" s="2">
        <f t="shared" ca="1" si="0"/>
        <v>45</v>
      </c>
      <c r="G18" s="2" t="s">
        <v>127</v>
      </c>
      <c r="H18" s="2" t="s">
        <v>145</v>
      </c>
      <c r="I18" s="2" t="s">
        <v>33</v>
      </c>
      <c r="J18" s="2" t="s">
        <v>17</v>
      </c>
      <c r="K18" s="2" t="s">
        <v>18</v>
      </c>
      <c r="L18" s="2" t="s">
        <v>11</v>
      </c>
      <c r="M18" s="2" t="s">
        <v>35</v>
      </c>
      <c r="N18" s="2" t="s">
        <v>79</v>
      </c>
      <c r="O18" s="2" t="s">
        <v>80</v>
      </c>
    </row>
    <row r="19" spans="1:15" hidden="1" x14ac:dyDescent="0.35">
      <c r="A19">
        <v>18</v>
      </c>
      <c r="B19" s="1" t="s">
        <v>81</v>
      </c>
      <c r="C19" s="1" t="s">
        <v>81</v>
      </c>
      <c r="D19" s="1" t="s">
        <v>81</v>
      </c>
      <c r="E19" s="2" t="s">
        <v>124</v>
      </c>
      <c r="F19" s="2">
        <f t="shared" ca="1" si="0"/>
        <v>38</v>
      </c>
      <c r="G19" s="2" t="s">
        <v>127</v>
      </c>
      <c r="H19" s="2" t="s">
        <v>149</v>
      </c>
      <c r="I19" s="2" t="s">
        <v>16</v>
      </c>
      <c r="J19" s="2" t="s">
        <v>10</v>
      </c>
      <c r="K19" s="2" t="s">
        <v>10</v>
      </c>
      <c r="L19" s="2" t="s">
        <v>19</v>
      </c>
      <c r="M19" s="2" t="s">
        <v>20</v>
      </c>
      <c r="N19" s="2" t="s">
        <v>82</v>
      </c>
      <c r="O19" s="2" t="s">
        <v>83</v>
      </c>
    </row>
    <row r="20" spans="1:15" hidden="1" x14ac:dyDescent="0.35">
      <c r="A20">
        <v>19</v>
      </c>
      <c r="B20" s="1" t="s">
        <v>84</v>
      </c>
      <c r="C20" s="1" t="s">
        <v>84</v>
      </c>
      <c r="D20" s="1" t="s">
        <v>84</v>
      </c>
      <c r="E20" s="2" t="s">
        <v>124</v>
      </c>
      <c r="F20" s="2">
        <f t="shared" ca="1" si="0"/>
        <v>61</v>
      </c>
      <c r="G20" s="2" t="s">
        <v>127</v>
      </c>
      <c r="H20" s="2" t="s">
        <v>125</v>
      </c>
      <c r="I20" s="2" t="s">
        <v>16</v>
      </c>
      <c r="J20" s="2" t="s">
        <v>85</v>
      </c>
      <c r="K20" s="2" t="s">
        <v>18</v>
      </c>
      <c r="L20" s="2" t="s">
        <v>19</v>
      </c>
      <c r="M20" s="2" t="s">
        <v>20</v>
      </c>
      <c r="N20" s="2" t="s">
        <v>86</v>
      </c>
      <c r="O20" s="2" t="s">
        <v>87</v>
      </c>
    </row>
    <row r="21" spans="1:15" ht="15.75" hidden="1" customHeight="1" x14ac:dyDescent="0.35">
      <c r="A21">
        <v>20</v>
      </c>
      <c r="B21" s="1" t="s">
        <v>88</v>
      </c>
      <c r="C21" s="1" t="s">
        <v>88</v>
      </c>
      <c r="D21" s="1" t="s">
        <v>88</v>
      </c>
      <c r="E21" s="2" t="s">
        <v>124</v>
      </c>
      <c r="F21" s="2">
        <f t="shared" ca="1" si="0"/>
        <v>45</v>
      </c>
      <c r="G21" s="2" t="s">
        <v>127</v>
      </c>
      <c r="H21" s="2" t="s">
        <v>125</v>
      </c>
      <c r="I21" s="2" t="s">
        <v>16</v>
      </c>
      <c r="J21" s="2" t="s">
        <v>89</v>
      </c>
      <c r="K21" s="2" t="s">
        <v>18</v>
      </c>
      <c r="L21" s="2" t="s">
        <v>19</v>
      </c>
      <c r="M21" s="2" t="s">
        <v>20</v>
      </c>
      <c r="N21" s="2" t="s">
        <v>90</v>
      </c>
      <c r="O21" s="2" t="s">
        <v>91</v>
      </c>
    </row>
    <row r="22" spans="1:15" ht="15.75" hidden="1" customHeight="1" x14ac:dyDescent="0.35">
      <c r="A22">
        <v>21</v>
      </c>
      <c r="B22" s="1" t="s">
        <v>92</v>
      </c>
      <c r="C22" s="1" t="s">
        <v>92</v>
      </c>
      <c r="D22" s="1" t="s">
        <v>92</v>
      </c>
      <c r="E22" s="2" t="s">
        <v>124</v>
      </c>
      <c r="F22" s="2">
        <f t="shared" ca="1" si="0"/>
        <v>54</v>
      </c>
      <c r="G22" s="2" t="s">
        <v>127</v>
      </c>
      <c r="H22" s="2" t="s">
        <v>125</v>
      </c>
      <c r="I22" s="2" t="s">
        <v>16</v>
      </c>
      <c r="J22" s="2" t="s">
        <v>10</v>
      </c>
      <c r="K22" s="2" t="s">
        <v>10</v>
      </c>
      <c r="L22" s="2" t="s">
        <v>25</v>
      </c>
      <c r="M22" s="2" t="s">
        <v>26</v>
      </c>
      <c r="N22" s="2" t="s">
        <v>93</v>
      </c>
      <c r="O22" s="2" t="s">
        <v>94</v>
      </c>
    </row>
    <row r="23" spans="1:15" ht="15.75" hidden="1" customHeight="1" x14ac:dyDescent="0.35">
      <c r="A23">
        <v>22</v>
      </c>
      <c r="B23" s="1" t="s">
        <v>95</v>
      </c>
      <c r="C23" s="1" t="s">
        <v>95</v>
      </c>
      <c r="D23" s="1" t="s">
        <v>95</v>
      </c>
      <c r="E23" s="2" t="s">
        <v>139</v>
      </c>
      <c r="F23" s="2">
        <f t="shared" ca="1" si="0"/>
        <v>46</v>
      </c>
      <c r="G23" s="2" t="s">
        <v>127</v>
      </c>
      <c r="H23" s="2" t="s">
        <v>149</v>
      </c>
      <c r="I23" s="2" t="s">
        <v>16</v>
      </c>
      <c r="J23" s="2" t="s">
        <v>17</v>
      </c>
      <c r="K23" s="2" t="s">
        <v>18</v>
      </c>
      <c r="L23" s="2" t="s">
        <v>19</v>
      </c>
      <c r="M23" s="2" t="s">
        <v>20</v>
      </c>
      <c r="N23" s="2" t="s">
        <v>96</v>
      </c>
      <c r="O23" s="2" t="s">
        <v>97</v>
      </c>
    </row>
    <row r="24" spans="1:15" ht="15.75" hidden="1" customHeight="1" x14ac:dyDescent="0.35">
      <c r="A24">
        <v>23</v>
      </c>
      <c r="B24" s="1" t="s">
        <v>98</v>
      </c>
      <c r="C24" s="1" t="s">
        <v>98</v>
      </c>
      <c r="D24" s="1" t="s">
        <v>98</v>
      </c>
      <c r="E24" s="2" t="s">
        <v>139</v>
      </c>
      <c r="F24" s="2">
        <f t="shared" ca="1" si="0"/>
        <v>40</v>
      </c>
      <c r="G24" s="2" t="s">
        <v>132</v>
      </c>
      <c r="H24" s="2" t="s">
        <v>125</v>
      </c>
      <c r="I24" s="2" t="s">
        <v>43</v>
      </c>
      <c r="J24" s="2" t="s">
        <v>17</v>
      </c>
      <c r="K24" s="2" t="s">
        <v>18</v>
      </c>
      <c r="L24" s="2" t="s">
        <v>25</v>
      </c>
      <c r="M24" s="2" t="s">
        <v>35</v>
      </c>
      <c r="N24" s="2" t="s">
        <v>99</v>
      </c>
      <c r="O24" s="2" t="s">
        <v>100</v>
      </c>
    </row>
    <row r="25" spans="1:15" ht="15.75" hidden="1" customHeight="1" x14ac:dyDescent="0.35">
      <c r="A25">
        <v>24</v>
      </c>
      <c r="B25" s="1" t="s">
        <v>101</v>
      </c>
      <c r="C25" s="1" t="s">
        <v>668</v>
      </c>
      <c r="D25" s="1" t="s">
        <v>673</v>
      </c>
      <c r="E25" s="2" t="s">
        <v>139</v>
      </c>
      <c r="F25" s="2">
        <f t="shared" ca="1" si="0"/>
        <v>63</v>
      </c>
      <c r="G25" s="2" t="s">
        <v>127</v>
      </c>
      <c r="H25" s="2" t="s">
        <v>125</v>
      </c>
      <c r="I25" s="2" t="s">
        <v>16</v>
      </c>
      <c r="J25" s="2" t="s">
        <v>34</v>
      </c>
      <c r="K25" s="2" t="s">
        <v>18</v>
      </c>
      <c r="L25" s="2" t="s">
        <v>19</v>
      </c>
      <c r="M25" s="2" t="s">
        <v>20</v>
      </c>
      <c r="N25" s="2" t="s">
        <v>102</v>
      </c>
      <c r="O25" s="2" t="s">
        <v>103</v>
      </c>
    </row>
    <row r="26" spans="1:15" ht="15.75" hidden="1" customHeight="1" x14ac:dyDescent="0.35">
      <c r="A26">
        <v>25</v>
      </c>
      <c r="B26" s="1" t="s">
        <v>104</v>
      </c>
      <c r="C26" s="1" t="s">
        <v>104</v>
      </c>
      <c r="D26" s="1" t="s">
        <v>104</v>
      </c>
      <c r="E26" s="2" t="s">
        <v>124</v>
      </c>
      <c r="F26" s="2">
        <f t="shared" ca="1" si="0"/>
        <v>46</v>
      </c>
      <c r="G26" s="2" t="s">
        <v>127</v>
      </c>
      <c r="H26" s="2" t="s">
        <v>125</v>
      </c>
      <c r="I26" s="2" t="s">
        <v>51</v>
      </c>
      <c r="J26" s="2" t="s">
        <v>17</v>
      </c>
      <c r="K26" s="2" t="s">
        <v>18</v>
      </c>
      <c r="L26" s="2" t="s">
        <v>25</v>
      </c>
      <c r="M26" s="2" t="s">
        <v>35</v>
      </c>
      <c r="N26" s="2" t="s">
        <v>105</v>
      </c>
      <c r="O26" s="2" t="s">
        <v>106</v>
      </c>
    </row>
    <row r="27" spans="1:15" ht="15.75" hidden="1" customHeight="1" x14ac:dyDescent="0.35">
      <c r="A27">
        <v>26</v>
      </c>
      <c r="B27" s="1" t="s">
        <v>107</v>
      </c>
      <c r="C27" s="1" t="s">
        <v>107</v>
      </c>
      <c r="D27" s="1" t="s">
        <v>107</v>
      </c>
      <c r="E27" s="2" t="s">
        <v>139</v>
      </c>
      <c r="F27" s="2">
        <f t="shared" ca="1" si="0"/>
        <v>69</v>
      </c>
      <c r="G27" s="2" t="s">
        <v>127</v>
      </c>
      <c r="H27" s="2" t="s">
        <v>145</v>
      </c>
      <c r="I27" s="2" t="s">
        <v>16</v>
      </c>
      <c r="J27" s="2" t="s">
        <v>17</v>
      </c>
      <c r="K27" s="2" t="s">
        <v>18</v>
      </c>
      <c r="L27" s="2" t="s">
        <v>25</v>
      </c>
      <c r="M27" s="2" t="s">
        <v>26</v>
      </c>
      <c r="N27" s="2" t="s">
        <v>108</v>
      </c>
      <c r="O27" s="2" t="s">
        <v>109</v>
      </c>
    </row>
    <row r="28" spans="1:15" ht="15.75" hidden="1" customHeight="1" x14ac:dyDescent="0.35">
      <c r="A28">
        <v>27</v>
      </c>
      <c r="B28" s="1" t="s">
        <v>110</v>
      </c>
      <c r="C28" s="1" t="s">
        <v>669</v>
      </c>
      <c r="D28" s="1" t="s">
        <v>671</v>
      </c>
      <c r="E28" s="2" t="s">
        <v>124</v>
      </c>
      <c r="F28" s="2">
        <f t="shared" ca="1" si="0"/>
        <v>61</v>
      </c>
      <c r="G28" s="2" t="s">
        <v>127</v>
      </c>
      <c r="H28" s="2" t="s">
        <v>145</v>
      </c>
      <c r="I28" s="2" t="s">
        <v>16</v>
      </c>
      <c r="J28" s="2" t="s">
        <v>10</v>
      </c>
      <c r="K28" s="2" t="s">
        <v>10</v>
      </c>
      <c r="L28" s="2" t="s">
        <v>19</v>
      </c>
      <c r="M28" s="2" t="s">
        <v>111</v>
      </c>
      <c r="N28" s="2" t="s">
        <v>112</v>
      </c>
      <c r="O28" s="3" t="s">
        <v>113</v>
      </c>
    </row>
    <row r="29" spans="1:15" ht="15.75" hidden="1" customHeight="1" x14ac:dyDescent="0.35">
      <c r="A29">
        <v>28</v>
      </c>
      <c r="B29" s="1" t="s">
        <v>114</v>
      </c>
      <c r="C29" s="1" t="s">
        <v>114</v>
      </c>
      <c r="D29" s="1" t="s">
        <v>114</v>
      </c>
      <c r="E29" s="2" t="s">
        <v>124</v>
      </c>
      <c r="F29" s="2">
        <f t="shared" ca="1" si="0"/>
        <v>29</v>
      </c>
      <c r="G29" s="2" t="s">
        <v>127</v>
      </c>
      <c r="H29" s="2" t="s">
        <v>145</v>
      </c>
      <c r="I29" s="2" t="s">
        <v>16</v>
      </c>
      <c r="J29" s="2" t="s">
        <v>34</v>
      </c>
      <c r="K29" s="2" t="s">
        <v>18</v>
      </c>
      <c r="L29" s="2" t="s">
        <v>19</v>
      </c>
      <c r="M29" s="2" t="s">
        <v>20</v>
      </c>
      <c r="N29" s="2" t="s">
        <v>115</v>
      </c>
      <c r="O29" s="2" t="s">
        <v>116</v>
      </c>
    </row>
    <row r="30" spans="1:15" ht="15.75" hidden="1" customHeight="1" x14ac:dyDescent="0.35">
      <c r="A30">
        <v>29</v>
      </c>
      <c r="B30" s="1" t="s">
        <v>117</v>
      </c>
      <c r="C30" s="1" t="s">
        <v>670</v>
      </c>
      <c r="D30" s="1" t="s">
        <v>674</v>
      </c>
      <c r="E30" s="2" t="s">
        <v>124</v>
      </c>
      <c r="F30" s="2">
        <f t="shared" ca="1" si="0"/>
        <v>56</v>
      </c>
      <c r="G30" s="2" t="s">
        <v>132</v>
      </c>
      <c r="H30" s="2" t="s">
        <v>145</v>
      </c>
      <c r="I30" s="2" t="s">
        <v>16</v>
      </c>
      <c r="J30" s="2" t="s">
        <v>89</v>
      </c>
      <c r="K30" s="2" t="s">
        <v>18</v>
      </c>
      <c r="L30" s="2" t="s">
        <v>19</v>
      </c>
      <c r="M30" s="2" t="s">
        <v>118</v>
      </c>
      <c r="N30" s="2" t="s">
        <v>119</v>
      </c>
      <c r="O30" s="3" t="s">
        <v>120</v>
      </c>
    </row>
    <row r="31" spans="1:15" ht="15.75" hidden="1" customHeight="1" x14ac:dyDescent="0.35">
      <c r="A31">
        <v>30</v>
      </c>
      <c r="B31" s="2" t="s">
        <v>123</v>
      </c>
      <c r="C31" s="1" t="s">
        <v>121</v>
      </c>
      <c r="D31" s="1" t="s">
        <v>122</v>
      </c>
      <c r="E31" s="2" t="s">
        <v>124</v>
      </c>
      <c r="F31" s="2">
        <f t="shared" ca="1" si="0"/>
        <v>29</v>
      </c>
      <c r="G31" s="2" t="s">
        <v>127</v>
      </c>
      <c r="H31" s="2" t="s">
        <v>125</v>
      </c>
      <c r="I31" s="2" t="s">
        <v>16</v>
      </c>
      <c r="J31" s="2" t="s">
        <v>10</v>
      </c>
      <c r="K31" s="2" t="s">
        <v>10</v>
      </c>
      <c r="L31" s="2" t="s">
        <v>25</v>
      </c>
      <c r="M31" s="2" t="s">
        <v>26</v>
      </c>
      <c r="N31" s="2" t="s">
        <v>128</v>
      </c>
      <c r="O31" s="2" t="s">
        <v>129</v>
      </c>
    </row>
    <row r="32" spans="1:15" ht="15.75" hidden="1" customHeight="1" x14ac:dyDescent="0.35">
      <c r="A32">
        <v>31</v>
      </c>
      <c r="B32" s="2" t="s">
        <v>131</v>
      </c>
      <c r="C32" s="1" t="s">
        <v>130</v>
      </c>
      <c r="D32" s="1" t="s">
        <v>686</v>
      </c>
      <c r="E32" s="2" t="s">
        <v>124</v>
      </c>
      <c r="F32" s="2">
        <f t="shared" ca="1" si="0"/>
        <v>58</v>
      </c>
      <c r="G32" s="2" t="s">
        <v>127</v>
      </c>
      <c r="H32" s="2" t="s">
        <v>125</v>
      </c>
      <c r="I32" s="2" t="s">
        <v>16</v>
      </c>
      <c r="J32" s="2" t="s">
        <v>10</v>
      </c>
      <c r="K32" s="2" t="s">
        <v>10</v>
      </c>
      <c r="L32" s="2" t="s">
        <v>19</v>
      </c>
      <c r="M32" s="2" t="s">
        <v>118</v>
      </c>
      <c r="N32" s="2" t="s">
        <v>133</v>
      </c>
      <c r="O32" s="3" t="s">
        <v>134</v>
      </c>
    </row>
    <row r="33" spans="1:15" ht="15.75" hidden="1" customHeight="1" x14ac:dyDescent="0.35">
      <c r="A33">
        <v>32</v>
      </c>
      <c r="B33" s="2" t="s">
        <v>138</v>
      </c>
      <c r="C33" s="1" t="s">
        <v>135</v>
      </c>
      <c r="D33" s="1" t="s">
        <v>137</v>
      </c>
      <c r="E33" s="2" t="s">
        <v>124</v>
      </c>
      <c r="F33" s="2">
        <f t="shared" ca="1" si="0"/>
        <v>38</v>
      </c>
      <c r="G33" s="2" t="s">
        <v>127</v>
      </c>
      <c r="H33" s="2" t="s">
        <v>125</v>
      </c>
      <c r="I33" s="2" t="s">
        <v>16</v>
      </c>
      <c r="J33" s="2" t="s">
        <v>34</v>
      </c>
      <c r="K33" s="2" t="s">
        <v>18</v>
      </c>
      <c r="L33" s="2" t="s">
        <v>19</v>
      </c>
      <c r="M33" s="2" t="s">
        <v>20</v>
      </c>
      <c r="N33" s="2" t="s">
        <v>140</v>
      </c>
      <c r="O33" s="2" t="s">
        <v>141</v>
      </c>
    </row>
    <row r="34" spans="1:15" ht="15.75" hidden="1" customHeight="1" x14ac:dyDescent="0.35">
      <c r="A34">
        <v>33</v>
      </c>
      <c r="B34" s="2" t="s">
        <v>144</v>
      </c>
      <c r="C34" s="1" t="s">
        <v>142</v>
      </c>
      <c r="D34" s="1" t="s">
        <v>143</v>
      </c>
      <c r="E34" s="2" t="s">
        <v>124</v>
      </c>
      <c r="F34" s="2">
        <f t="shared" ref="F34:F65" ca="1" si="1">RANDBETWEEN(25, 69)</f>
        <v>29</v>
      </c>
      <c r="G34" s="2" t="s">
        <v>127</v>
      </c>
      <c r="H34" s="2" t="s">
        <v>125</v>
      </c>
      <c r="I34" s="2" t="s">
        <v>16</v>
      </c>
      <c r="J34" s="2" t="s">
        <v>10</v>
      </c>
      <c r="K34" s="2" t="s">
        <v>10</v>
      </c>
      <c r="L34" s="2" t="s">
        <v>19</v>
      </c>
      <c r="M34" s="2" t="s">
        <v>47</v>
      </c>
      <c r="N34" s="2" t="s">
        <v>146</v>
      </c>
      <c r="O34" s="2" t="s">
        <v>147</v>
      </c>
    </row>
    <row r="35" spans="1:15" ht="15.75" hidden="1" customHeight="1" x14ac:dyDescent="0.35">
      <c r="A35">
        <v>34</v>
      </c>
      <c r="B35" s="2" t="s">
        <v>148</v>
      </c>
      <c r="C35" s="1" t="s">
        <v>675</v>
      </c>
      <c r="D35" s="1" t="s">
        <v>687</v>
      </c>
      <c r="E35" s="2" t="s">
        <v>124</v>
      </c>
      <c r="F35" s="2">
        <f t="shared" ca="1" si="1"/>
        <v>30</v>
      </c>
      <c r="G35" s="2" t="s">
        <v>127</v>
      </c>
      <c r="H35" s="2" t="s">
        <v>149</v>
      </c>
      <c r="I35" s="2" t="s">
        <v>16</v>
      </c>
      <c r="J35" s="2" t="s">
        <v>89</v>
      </c>
      <c r="K35" s="2" t="s">
        <v>18</v>
      </c>
      <c r="L35" s="2" t="s">
        <v>19</v>
      </c>
      <c r="M35" s="2" t="s">
        <v>151</v>
      </c>
      <c r="N35" s="2" t="s">
        <v>152</v>
      </c>
      <c r="O35" s="3" t="s">
        <v>153</v>
      </c>
    </row>
    <row r="36" spans="1:15" ht="15.75" hidden="1" customHeight="1" x14ac:dyDescent="0.35">
      <c r="A36">
        <v>35</v>
      </c>
      <c r="B36" s="2" t="s">
        <v>156</v>
      </c>
      <c r="C36" s="1" t="s">
        <v>154</v>
      </c>
      <c r="D36" s="1" t="s">
        <v>155</v>
      </c>
      <c r="E36" s="2" t="s">
        <v>124</v>
      </c>
      <c r="F36" s="2">
        <f t="shared" ca="1" si="1"/>
        <v>63</v>
      </c>
      <c r="G36" s="2" t="s">
        <v>127</v>
      </c>
      <c r="H36" s="2" t="s">
        <v>125</v>
      </c>
      <c r="I36" s="2" t="s">
        <v>16</v>
      </c>
      <c r="J36" s="2" t="s">
        <v>17</v>
      </c>
      <c r="K36" s="2" t="s">
        <v>18</v>
      </c>
      <c r="L36" s="2" t="s">
        <v>19</v>
      </c>
      <c r="M36" s="2" t="s">
        <v>47</v>
      </c>
      <c r="N36" s="2" t="s">
        <v>157</v>
      </c>
      <c r="O36" s="2" t="s">
        <v>158</v>
      </c>
    </row>
    <row r="37" spans="1:15" ht="15.75" hidden="1" customHeight="1" x14ac:dyDescent="0.35">
      <c r="A37">
        <v>36</v>
      </c>
      <c r="B37" s="2" t="s">
        <v>161</v>
      </c>
      <c r="C37" s="1" t="s">
        <v>159</v>
      </c>
      <c r="D37" s="1" t="s">
        <v>160</v>
      </c>
      <c r="E37" s="2" t="s">
        <v>124</v>
      </c>
      <c r="F37" s="2">
        <f t="shared" ca="1" si="1"/>
        <v>37</v>
      </c>
      <c r="G37" s="2" t="s">
        <v>127</v>
      </c>
      <c r="H37" s="2" t="s">
        <v>125</v>
      </c>
      <c r="I37" s="2" t="s">
        <v>16</v>
      </c>
      <c r="J37" s="2" t="s">
        <v>17</v>
      </c>
      <c r="K37" s="2" t="s">
        <v>18</v>
      </c>
      <c r="L37" s="2" t="s">
        <v>25</v>
      </c>
      <c r="M37" s="2" t="s">
        <v>26</v>
      </c>
      <c r="N37" s="2" t="s">
        <v>162</v>
      </c>
      <c r="O37" s="2" t="s">
        <v>163</v>
      </c>
    </row>
    <row r="38" spans="1:15" ht="15.75" hidden="1" customHeight="1" x14ac:dyDescent="0.35">
      <c r="A38">
        <v>37</v>
      </c>
      <c r="B38" s="2" t="s">
        <v>167</v>
      </c>
      <c r="C38" s="1" t="s">
        <v>164</v>
      </c>
      <c r="D38" s="1" t="s">
        <v>166</v>
      </c>
      <c r="E38" s="2" t="s">
        <v>124</v>
      </c>
      <c r="F38" s="2">
        <f t="shared" ca="1" si="1"/>
        <v>32</v>
      </c>
      <c r="G38" s="2" t="s">
        <v>127</v>
      </c>
      <c r="H38" s="2" t="s">
        <v>145</v>
      </c>
      <c r="I38" s="2" t="s">
        <v>16</v>
      </c>
      <c r="J38" s="2" t="s">
        <v>10</v>
      </c>
      <c r="K38" s="2" t="s">
        <v>10</v>
      </c>
      <c r="L38" s="2" t="s">
        <v>25</v>
      </c>
      <c r="M38" s="2" t="s">
        <v>168</v>
      </c>
      <c r="N38" s="2" t="s">
        <v>169</v>
      </c>
      <c r="O38" s="2" t="s">
        <v>170</v>
      </c>
    </row>
    <row r="39" spans="1:15" ht="15.75" hidden="1" customHeight="1" x14ac:dyDescent="0.35">
      <c r="A39">
        <v>38</v>
      </c>
      <c r="B39" s="2" t="s">
        <v>174</v>
      </c>
      <c r="C39" s="1" t="s">
        <v>171</v>
      </c>
      <c r="D39" s="1" t="s">
        <v>173</v>
      </c>
      <c r="E39" s="2" t="s">
        <v>124</v>
      </c>
      <c r="F39" s="2">
        <f t="shared" ca="1" si="1"/>
        <v>26</v>
      </c>
      <c r="G39" s="2" t="s">
        <v>132</v>
      </c>
      <c r="H39" s="2" t="s">
        <v>125</v>
      </c>
      <c r="I39" s="2" t="s">
        <v>33</v>
      </c>
      <c r="J39" s="2" t="s">
        <v>34</v>
      </c>
      <c r="K39" s="2" t="s">
        <v>18</v>
      </c>
      <c r="L39" s="2" t="s">
        <v>11</v>
      </c>
      <c r="M39" s="2" t="s">
        <v>35</v>
      </c>
      <c r="N39" s="2" t="s">
        <v>175</v>
      </c>
      <c r="O39" s="2" t="s">
        <v>176</v>
      </c>
    </row>
    <row r="40" spans="1:15" ht="15.75" hidden="1" customHeight="1" x14ac:dyDescent="0.35">
      <c r="A40">
        <v>39</v>
      </c>
      <c r="B40" s="2" t="s">
        <v>179</v>
      </c>
      <c r="C40" s="1" t="s">
        <v>177</v>
      </c>
      <c r="D40" s="1" t="s">
        <v>178</v>
      </c>
      <c r="E40" s="2" t="s">
        <v>124</v>
      </c>
      <c r="F40" s="2">
        <f t="shared" ca="1" si="1"/>
        <v>45</v>
      </c>
      <c r="G40" s="2" t="s">
        <v>127</v>
      </c>
      <c r="H40" s="2" t="s">
        <v>125</v>
      </c>
      <c r="I40" s="2" t="s">
        <v>39</v>
      </c>
      <c r="J40" s="2" t="s">
        <v>89</v>
      </c>
      <c r="K40" s="2" t="s">
        <v>18</v>
      </c>
      <c r="L40" s="2" t="s">
        <v>11</v>
      </c>
      <c r="M40" s="2" t="s">
        <v>12</v>
      </c>
      <c r="N40" s="2" t="s">
        <v>180</v>
      </c>
      <c r="O40" s="2" t="s">
        <v>181</v>
      </c>
    </row>
    <row r="41" spans="1:15" ht="15.75" hidden="1" customHeight="1" x14ac:dyDescent="0.35">
      <c r="A41">
        <v>40</v>
      </c>
      <c r="B41" s="2" t="s">
        <v>184</v>
      </c>
      <c r="C41" s="1" t="s">
        <v>182</v>
      </c>
      <c r="D41" s="1" t="s">
        <v>183</v>
      </c>
      <c r="E41" s="2" t="s">
        <v>139</v>
      </c>
      <c r="F41" s="2">
        <f t="shared" ca="1" si="1"/>
        <v>61</v>
      </c>
      <c r="G41" s="2" t="s">
        <v>127</v>
      </c>
      <c r="H41" s="2" t="s">
        <v>149</v>
      </c>
      <c r="I41" s="2" t="s">
        <v>185</v>
      </c>
      <c r="J41" s="2" t="s">
        <v>10</v>
      </c>
      <c r="K41" s="2" t="s">
        <v>10</v>
      </c>
      <c r="L41" s="2" t="s">
        <v>19</v>
      </c>
      <c r="M41" s="2" t="s">
        <v>35</v>
      </c>
      <c r="N41" s="2" t="s">
        <v>186</v>
      </c>
      <c r="O41" s="2" t="s">
        <v>187</v>
      </c>
    </row>
    <row r="42" spans="1:15" ht="15.75" hidden="1" customHeight="1" x14ac:dyDescent="0.35">
      <c r="A42">
        <v>41</v>
      </c>
      <c r="B42" s="2" t="s">
        <v>190</v>
      </c>
      <c r="C42" s="1" t="s">
        <v>188</v>
      </c>
      <c r="D42" s="1" t="s">
        <v>189</v>
      </c>
      <c r="E42" s="2" t="s">
        <v>124</v>
      </c>
      <c r="F42" s="2">
        <f t="shared" ca="1" si="1"/>
        <v>53</v>
      </c>
      <c r="G42" s="2" t="s">
        <v>127</v>
      </c>
      <c r="H42" s="2" t="s">
        <v>125</v>
      </c>
      <c r="I42" s="2" t="s">
        <v>8</v>
      </c>
      <c r="J42" s="2" t="s">
        <v>9</v>
      </c>
      <c r="K42" s="2" t="s">
        <v>10</v>
      </c>
      <c r="L42" s="2" t="s">
        <v>11</v>
      </c>
      <c r="M42" s="2" t="s">
        <v>35</v>
      </c>
      <c r="N42" s="2" t="s">
        <v>191</v>
      </c>
      <c r="O42" s="2" t="s">
        <v>192</v>
      </c>
    </row>
    <row r="43" spans="1:15" ht="15.75" hidden="1" customHeight="1" x14ac:dyDescent="0.35">
      <c r="A43">
        <v>42</v>
      </c>
      <c r="B43" s="2" t="s">
        <v>195</v>
      </c>
      <c r="C43" s="1" t="s">
        <v>193</v>
      </c>
      <c r="D43" s="1" t="s">
        <v>194</v>
      </c>
      <c r="E43" s="2" t="s">
        <v>124</v>
      </c>
      <c r="F43" s="2">
        <f t="shared" ca="1" si="1"/>
        <v>42</v>
      </c>
      <c r="G43" s="2" t="s">
        <v>127</v>
      </c>
      <c r="H43" s="2" t="s">
        <v>145</v>
      </c>
      <c r="I43" s="2" t="s">
        <v>62</v>
      </c>
      <c r="J43" s="2" t="s">
        <v>17</v>
      </c>
      <c r="K43" s="2" t="s">
        <v>18</v>
      </c>
      <c r="L43" s="2" t="s">
        <v>19</v>
      </c>
      <c r="M43" s="2" t="s">
        <v>12</v>
      </c>
      <c r="N43" s="2" t="s">
        <v>196</v>
      </c>
      <c r="O43" s="2" t="s">
        <v>197</v>
      </c>
    </row>
    <row r="44" spans="1:15" ht="15.75" hidden="1" customHeight="1" x14ac:dyDescent="0.35">
      <c r="A44">
        <v>43</v>
      </c>
      <c r="B44" s="2" t="s">
        <v>200</v>
      </c>
      <c r="C44" s="1" t="s">
        <v>198</v>
      </c>
      <c r="D44" s="1" t="s">
        <v>199</v>
      </c>
      <c r="E44" s="2" t="s">
        <v>139</v>
      </c>
      <c r="F44" s="2">
        <f t="shared" ca="1" si="1"/>
        <v>54</v>
      </c>
      <c r="G44" s="2" t="s">
        <v>127</v>
      </c>
      <c r="H44" s="2" t="s">
        <v>145</v>
      </c>
      <c r="I44" s="2" t="s">
        <v>43</v>
      </c>
      <c r="J44" s="2" t="s">
        <v>17</v>
      </c>
      <c r="K44" s="2" t="s">
        <v>18</v>
      </c>
      <c r="L44" s="2" t="s">
        <v>11</v>
      </c>
      <c r="M44" s="2" t="s">
        <v>35</v>
      </c>
      <c r="N44" s="2" t="s">
        <v>201</v>
      </c>
      <c r="O44" s="2" t="s">
        <v>202</v>
      </c>
    </row>
    <row r="45" spans="1:15" ht="15.75" hidden="1" customHeight="1" x14ac:dyDescent="0.35">
      <c r="A45">
        <v>44</v>
      </c>
      <c r="B45" s="2" t="s">
        <v>204</v>
      </c>
      <c r="C45" s="1" t="s">
        <v>203</v>
      </c>
      <c r="D45" s="1" t="s">
        <v>688</v>
      </c>
      <c r="E45" s="2" t="s">
        <v>124</v>
      </c>
      <c r="F45" s="2">
        <f t="shared" ca="1" si="1"/>
        <v>25</v>
      </c>
      <c r="G45" s="2" t="s">
        <v>127</v>
      </c>
      <c r="H45" s="2" t="s">
        <v>125</v>
      </c>
      <c r="I45" s="2" t="s">
        <v>205</v>
      </c>
      <c r="J45" s="2" t="s">
        <v>89</v>
      </c>
      <c r="K45" s="2" t="s">
        <v>18</v>
      </c>
      <c r="L45" s="2" t="s">
        <v>19</v>
      </c>
      <c r="M45" s="2" t="s">
        <v>206</v>
      </c>
      <c r="N45" s="2" t="s">
        <v>207</v>
      </c>
      <c r="O45" s="2" t="s">
        <v>208</v>
      </c>
    </row>
    <row r="46" spans="1:15" ht="15.75" hidden="1" customHeight="1" x14ac:dyDescent="0.35">
      <c r="A46">
        <v>45</v>
      </c>
      <c r="B46" s="2" t="s">
        <v>210</v>
      </c>
      <c r="C46" s="1" t="s">
        <v>209</v>
      </c>
      <c r="D46" s="1" t="s">
        <v>172</v>
      </c>
      <c r="E46" s="2" t="s">
        <v>139</v>
      </c>
      <c r="F46" s="2">
        <f t="shared" ca="1" si="1"/>
        <v>33</v>
      </c>
      <c r="G46" s="2" t="s">
        <v>127</v>
      </c>
      <c r="H46" s="2" t="s">
        <v>149</v>
      </c>
      <c r="I46" s="2" t="s">
        <v>62</v>
      </c>
      <c r="J46" s="2" t="s">
        <v>34</v>
      </c>
      <c r="K46" s="2" t="s">
        <v>18</v>
      </c>
      <c r="L46" s="2" t="s">
        <v>19</v>
      </c>
      <c r="M46" s="2" t="s">
        <v>12</v>
      </c>
      <c r="N46" s="2" t="s">
        <v>211</v>
      </c>
      <c r="O46" s="2" t="s">
        <v>212</v>
      </c>
    </row>
    <row r="47" spans="1:15" ht="15.75" hidden="1" customHeight="1" x14ac:dyDescent="0.35">
      <c r="A47">
        <v>46</v>
      </c>
      <c r="B47" s="2" t="s">
        <v>215</v>
      </c>
      <c r="C47" s="1" t="s">
        <v>213</v>
      </c>
      <c r="D47" s="1" t="s">
        <v>214</v>
      </c>
      <c r="E47" s="2" t="s">
        <v>124</v>
      </c>
      <c r="F47" s="2">
        <f t="shared" ca="1" si="1"/>
        <v>31</v>
      </c>
      <c r="G47" s="2" t="s">
        <v>127</v>
      </c>
      <c r="H47" s="2" t="s">
        <v>125</v>
      </c>
      <c r="I47" s="2" t="s">
        <v>62</v>
      </c>
      <c r="J47" s="2" t="s">
        <v>24</v>
      </c>
      <c r="K47" s="2" t="s">
        <v>18</v>
      </c>
      <c r="L47" s="2" t="s">
        <v>25</v>
      </c>
      <c r="M47" s="2" t="s">
        <v>35</v>
      </c>
      <c r="N47" s="2" t="s">
        <v>216</v>
      </c>
      <c r="O47" s="2" t="s">
        <v>217</v>
      </c>
    </row>
    <row r="48" spans="1:15" ht="15.75" hidden="1" customHeight="1" x14ac:dyDescent="0.35">
      <c r="A48">
        <v>47</v>
      </c>
      <c r="B48" s="2" t="s">
        <v>220</v>
      </c>
      <c r="C48" s="1" t="s">
        <v>218</v>
      </c>
      <c r="D48" s="1" t="s">
        <v>219</v>
      </c>
      <c r="E48" s="2" t="s">
        <v>139</v>
      </c>
      <c r="F48" s="2">
        <f t="shared" ca="1" si="1"/>
        <v>42</v>
      </c>
      <c r="G48" s="2" t="s">
        <v>127</v>
      </c>
      <c r="H48" s="2" t="s">
        <v>145</v>
      </c>
      <c r="I48" s="2" t="s">
        <v>185</v>
      </c>
      <c r="J48" s="2" t="s">
        <v>17</v>
      </c>
      <c r="K48" s="2" t="s">
        <v>18</v>
      </c>
      <c r="L48" s="2" t="s">
        <v>25</v>
      </c>
      <c r="M48" s="2" t="s">
        <v>12</v>
      </c>
      <c r="N48" s="2" t="s">
        <v>221</v>
      </c>
      <c r="O48" s="2" t="s">
        <v>222</v>
      </c>
    </row>
    <row r="49" spans="1:15" ht="15.75" hidden="1" customHeight="1" x14ac:dyDescent="0.35">
      <c r="A49">
        <v>48</v>
      </c>
      <c r="B49" s="2" t="s">
        <v>224</v>
      </c>
      <c r="C49" s="1" t="s">
        <v>223</v>
      </c>
      <c r="D49" s="1" t="s">
        <v>689</v>
      </c>
      <c r="E49" s="2" t="s">
        <v>124</v>
      </c>
      <c r="F49" s="2">
        <f t="shared" ca="1" si="1"/>
        <v>44</v>
      </c>
      <c r="G49" s="2" t="s">
        <v>127</v>
      </c>
      <c r="H49" s="2" t="s">
        <v>125</v>
      </c>
      <c r="I49" s="2" t="s">
        <v>62</v>
      </c>
      <c r="J49" s="2" t="s">
        <v>24</v>
      </c>
      <c r="K49" s="2" t="s">
        <v>18</v>
      </c>
      <c r="L49" s="2" t="s">
        <v>19</v>
      </c>
      <c r="M49" s="2" t="s">
        <v>12</v>
      </c>
      <c r="N49" s="2" t="s">
        <v>225</v>
      </c>
      <c r="O49" s="2" t="s">
        <v>226</v>
      </c>
    </row>
    <row r="50" spans="1:15" ht="15.75" hidden="1" customHeight="1" x14ac:dyDescent="0.35">
      <c r="A50">
        <v>49</v>
      </c>
      <c r="B50" s="2" t="s">
        <v>228</v>
      </c>
      <c r="C50" s="1" t="s">
        <v>227</v>
      </c>
      <c r="D50" s="1" t="s">
        <v>690</v>
      </c>
      <c r="E50" s="2" t="s">
        <v>124</v>
      </c>
      <c r="F50" s="2">
        <f t="shared" ca="1" si="1"/>
        <v>67</v>
      </c>
      <c r="G50" s="2" t="s">
        <v>127</v>
      </c>
      <c r="H50" s="2" t="s">
        <v>125</v>
      </c>
      <c r="I50" s="2" t="s">
        <v>62</v>
      </c>
      <c r="J50" s="2" t="s">
        <v>10</v>
      </c>
      <c r="K50" s="2" t="s">
        <v>10</v>
      </c>
      <c r="L50" s="2" t="s">
        <v>19</v>
      </c>
      <c r="M50" s="2" t="s">
        <v>12</v>
      </c>
      <c r="N50" s="2" t="s">
        <v>229</v>
      </c>
      <c r="O50" s="2" t="s">
        <v>230</v>
      </c>
    </row>
    <row r="51" spans="1:15" ht="15.75" hidden="1" customHeight="1" x14ac:dyDescent="0.35">
      <c r="A51">
        <v>50</v>
      </c>
      <c r="B51" s="2" t="s">
        <v>234</v>
      </c>
      <c r="C51" s="1" t="s">
        <v>231</v>
      </c>
      <c r="D51" s="1" t="s">
        <v>233</v>
      </c>
      <c r="E51" s="2" t="s">
        <v>124</v>
      </c>
      <c r="F51" s="2">
        <f t="shared" ca="1" si="1"/>
        <v>66</v>
      </c>
      <c r="G51" s="2" t="s">
        <v>132</v>
      </c>
      <c r="H51" s="2" t="s">
        <v>125</v>
      </c>
      <c r="I51" s="2" t="s">
        <v>62</v>
      </c>
      <c r="J51" s="2" t="s">
        <v>85</v>
      </c>
      <c r="K51" s="2" t="s">
        <v>18</v>
      </c>
      <c r="L51" s="2" t="s">
        <v>25</v>
      </c>
      <c r="M51" s="2" t="s">
        <v>35</v>
      </c>
      <c r="N51" s="2" t="s">
        <v>235</v>
      </c>
      <c r="O51" s="2" t="s">
        <v>236</v>
      </c>
    </row>
    <row r="52" spans="1:15" ht="15.75" hidden="1" customHeight="1" x14ac:dyDescent="0.35">
      <c r="A52">
        <v>51</v>
      </c>
      <c r="B52" s="2" t="s">
        <v>239</v>
      </c>
      <c r="C52" s="1" t="s">
        <v>237</v>
      </c>
      <c r="D52" s="1" t="s">
        <v>238</v>
      </c>
      <c r="E52" s="2" t="s">
        <v>124</v>
      </c>
      <c r="F52" s="2">
        <f t="shared" ca="1" si="1"/>
        <v>45</v>
      </c>
      <c r="G52" s="2" t="s">
        <v>127</v>
      </c>
      <c r="H52" s="2" t="s">
        <v>125</v>
      </c>
      <c r="I52" s="2" t="s">
        <v>16</v>
      </c>
      <c r="J52" s="2" t="s">
        <v>89</v>
      </c>
      <c r="K52" s="2" t="s">
        <v>18</v>
      </c>
      <c r="L52" s="2" t="s">
        <v>25</v>
      </c>
      <c r="M52" s="2" t="s">
        <v>168</v>
      </c>
      <c r="N52" s="2" t="s">
        <v>240</v>
      </c>
      <c r="O52" s="2" t="s">
        <v>241</v>
      </c>
    </row>
    <row r="53" spans="1:15" ht="15.75" hidden="1" customHeight="1" x14ac:dyDescent="0.35">
      <c r="A53">
        <v>52</v>
      </c>
      <c r="B53" s="2" t="s">
        <v>244</v>
      </c>
      <c r="C53" s="1" t="s">
        <v>242</v>
      </c>
      <c r="D53" s="1" t="s">
        <v>691</v>
      </c>
      <c r="E53" s="2" t="s">
        <v>139</v>
      </c>
      <c r="F53" s="2">
        <f t="shared" ca="1" si="1"/>
        <v>67</v>
      </c>
      <c r="G53" s="2" t="s">
        <v>127</v>
      </c>
      <c r="H53" s="2" t="s">
        <v>145</v>
      </c>
      <c r="I53" s="2" t="s">
        <v>16</v>
      </c>
      <c r="J53" s="2" t="s">
        <v>89</v>
      </c>
      <c r="K53" s="2" t="s">
        <v>18</v>
      </c>
      <c r="L53" s="2" t="s">
        <v>25</v>
      </c>
      <c r="M53" s="2" t="s">
        <v>245</v>
      </c>
      <c r="N53" s="2" t="s">
        <v>246</v>
      </c>
      <c r="O53" s="2" t="s">
        <v>247</v>
      </c>
    </row>
    <row r="54" spans="1:15" ht="15.75" hidden="1" customHeight="1" x14ac:dyDescent="0.35">
      <c r="A54">
        <v>53</v>
      </c>
      <c r="B54" s="2" t="s">
        <v>250</v>
      </c>
      <c r="C54" s="1" t="s">
        <v>248</v>
      </c>
      <c r="D54" s="1" t="s">
        <v>249</v>
      </c>
      <c r="E54" s="2" t="s">
        <v>124</v>
      </c>
      <c r="F54" s="2">
        <f t="shared" ca="1" si="1"/>
        <v>48</v>
      </c>
      <c r="G54" s="2" t="s">
        <v>127</v>
      </c>
      <c r="H54" s="2" t="s">
        <v>149</v>
      </c>
      <c r="I54" s="2" t="s">
        <v>16</v>
      </c>
      <c r="J54" s="2" t="s">
        <v>34</v>
      </c>
      <c r="K54" s="2" t="s">
        <v>18</v>
      </c>
      <c r="L54" s="2" t="s">
        <v>25</v>
      </c>
      <c r="M54" s="2" t="s">
        <v>26</v>
      </c>
      <c r="N54" s="2" t="s">
        <v>251</v>
      </c>
      <c r="O54" s="2" t="s">
        <v>252</v>
      </c>
    </row>
    <row r="55" spans="1:15" ht="15.75" hidden="1" customHeight="1" x14ac:dyDescent="0.35">
      <c r="A55">
        <v>54</v>
      </c>
      <c r="B55" s="2" t="s">
        <v>254</v>
      </c>
      <c r="C55" s="1" t="s">
        <v>676</v>
      </c>
      <c r="D55" s="1" t="s">
        <v>243</v>
      </c>
      <c r="E55" s="2" t="s">
        <v>124</v>
      </c>
      <c r="F55" s="2">
        <f t="shared" ca="1" si="1"/>
        <v>27</v>
      </c>
      <c r="G55" s="2" t="s">
        <v>127</v>
      </c>
      <c r="H55" s="2" t="s">
        <v>125</v>
      </c>
      <c r="I55" s="2" t="s">
        <v>62</v>
      </c>
      <c r="J55" s="2" t="s">
        <v>24</v>
      </c>
      <c r="K55" s="2" t="s">
        <v>18</v>
      </c>
      <c r="L55" s="2" t="s">
        <v>19</v>
      </c>
      <c r="M55" s="2" t="s">
        <v>12</v>
      </c>
      <c r="N55" s="2" t="s">
        <v>255</v>
      </c>
      <c r="O55" s="2" t="s">
        <v>256</v>
      </c>
    </row>
    <row r="56" spans="1:15" ht="15.75" hidden="1" customHeight="1" x14ac:dyDescent="0.35">
      <c r="A56">
        <v>55</v>
      </c>
      <c r="B56" s="2" t="s">
        <v>259</v>
      </c>
      <c r="C56" s="1" t="s">
        <v>257</v>
      </c>
      <c r="D56" s="1" t="s">
        <v>258</v>
      </c>
      <c r="E56" s="2" t="s">
        <v>124</v>
      </c>
      <c r="F56" s="2">
        <f t="shared" ca="1" si="1"/>
        <v>59</v>
      </c>
      <c r="G56" s="2" t="s">
        <v>127</v>
      </c>
      <c r="H56" s="2" t="s">
        <v>125</v>
      </c>
      <c r="I56" s="2" t="s">
        <v>43</v>
      </c>
      <c r="J56" s="2" t="s">
        <v>10</v>
      </c>
      <c r="K56" s="2" t="s">
        <v>10</v>
      </c>
      <c r="L56" s="2" t="s">
        <v>11</v>
      </c>
      <c r="M56" s="2" t="s">
        <v>35</v>
      </c>
      <c r="N56" s="2" t="s">
        <v>260</v>
      </c>
      <c r="O56" s="2" t="s">
        <v>261</v>
      </c>
    </row>
    <row r="57" spans="1:15" ht="15.75" hidden="1" customHeight="1" x14ac:dyDescent="0.35">
      <c r="A57">
        <v>56</v>
      </c>
      <c r="B57" s="2" t="s">
        <v>264</v>
      </c>
      <c r="C57" s="1" t="s">
        <v>262</v>
      </c>
      <c r="D57" s="1" t="s">
        <v>263</v>
      </c>
      <c r="E57" s="2" t="s">
        <v>124</v>
      </c>
      <c r="F57" s="2">
        <f t="shared" ca="1" si="1"/>
        <v>26</v>
      </c>
      <c r="G57" s="2" t="s">
        <v>127</v>
      </c>
      <c r="H57" s="2" t="s">
        <v>125</v>
      </c>
      <c r="I57" s="2" t="s">
        <v>62</v>
      </c>
      <c r="J57" s="2" t="s">
        <v>24</v>
      </c>
      <c r="K57" s="2" t="s">
        <v>18</v>
      </c>
      <c r="L57" s="2" t="s">
        <v>19</v>
      </c>
      <c r="M57" s="2" t="s">
        <v>12</v>
      </c>
      <c r="N57" s="2" t="s">
        <v>265</v>
      </c>
      <c r="O57" s="2" t="s">
        <v>266</v>
      </c>
    </row>
    <row r="58" spans="1:15" ht="15.75" hidden="1" customHeight="1" x14ac:dyDescent="0.35">
      <c r="A58">
        <v>57</v>
      </c>
      <c r="B58" s="2" t="s">
        <v>269</v>
      </c>
      <c r="C58" s="1" t="s">
        <v>267</v>
      </c>
      <c r="D58" s="1" t="s">
        <v>268</v>
      </c>
      <c r="E58" s="2" t="s">
        <v>124</v>
      </c>
      <c r="F58" s="2">
        <f t="shared" ca="1" si="1"/>
        <v>30</v>
      </c>
      <c r="G58" s="2" t="s">
        <v>127</v>
      </c>
      <c r="H58" s="2" t="s">
        <v>125</v>
      </c>
      <c r="I58" s="2" t="s">
        <v>33</v>
      </c>
      <c r="J58" s="2" t="s">
        <v>17</v>
      </c>
      <c r="K58" s="2" t="s">
        <v>18</v>
      </c>
      <c r="L58" s="2" t="s">
        <v>19</v>
      </c>
      <c r="M58" s="2" t="s">
        <v>12</v>
      </c>
      <c r="N58" s="2" t="s">
        <v>270</v>
      </c>
      <c r="O58" s="2" t="s">
        <v>271</v>
      </c>
    </row>
    <row r="59" spans="1:15" ht="15.75" hidden="1" customHeight="1" x14ac:dyDescent="0.35">
      <c r="A59">
        <v>58</v>
      </c>
      <c r="B59" s="2" t="s">
        <v>274</v>
      </c>
      <c r="C59" s="1" t="s">
        <v>272</v>
      </c>
      <c r="D59" s="1" t="s">
        <v>273</v>
      </c>
      <c r="E59" s="2" t="s">
        <v>124</v>
      </c>
      <c r="F59" s="2">
        <f t="shared" ca="1" si="1"/>
        <v>52</v>
      </c>
      <c r="G59" s="2" t="s">
        <v>127</v>
      </c>
      <c r="H59" s="2" t="s">
        <v>125</v>
      </c>
      <c r="I59" s="2" t="s">
        <v>16</v>
      </c>
      <c r="J59" s="2" t="s">
        <v>10</v>
      </c>
      <c r="K59" s="2" t="s">
        <v>10</v>
      </c>
      <c r="L59" s="2" t="s">
        <v>25</v>
      </c>
      <c r="M59" s="2" t="s">
        <v>245</v>
      </c>
      <c r="N59" s="2" t="s">
        <v>275</v>
      </c>
      <c r="O59" s="2" t="s">
        <v>276</v>
      </c>
    </row>
    <row r="60" spans="1:15" ht="15.75" hidden="1" customHeight="1" x14ac:dyDescent="0.35">
      <c r="A60">
        <v>59</v>
      </c>
      <c r="B60" s="2" t="s">
        <v>278</v>
      </c>
      <c r="C60" s="1" t="s">
        <v>194</v>
      </c>
      <c r="D60" s="1" t="s">
        <v>277</v>
      </c>
      <c r="E60" s="2" t="s">
        <v>124</v>
      </c>
      <c r="F60" s="2">
        <f t="shared" ca="1" si="1"/>
        <v>64</v>
      </c>
      <c r="G60" s="2" t="s">
        <v>127</v>
      </c>
      <c r="H60" s="2" t="s">
        <v>125</v>
      </c>
      <c r="I60" s="2" t="s">
        <v>16</v>
      </c>
      <c r="J60" s="2" t="s">
        <v>85</v>
      </c>
      <c r="K60" s="2" t="s">
        <v>18</v>
      </c>
      <c r="L60" s="2" t="s">
        <v>25</v>
      </c>
      <c r="M60" s="2" t="s">
        <v>47</v>
      </c>
      <c r="N60" s="2" t="s">
        <v>279</v>
      </c>
      <c r="O60" s="2" t="s">
        <v>280</v>
      </c>
    </row>
    <row r="61" spans="1:15" ht="15.75" hidden="1" customHeight="1" x14ac:dyDescent="0.35">
      <c r="A61">
        <v>60</v>
      </c>
      <c r="B61" s="2" t="s">
        <v>283</v>
      </c>
      <c r="C61" s="1" t="s">
        <v>281</v>
      </c>
      <c r="D61" s="1" t="s">
        <v>282</v>
      </c>
      <c r="E61" s="2" t="s">
        <v>124</v>
      </c>
      <c r="F61" s="2">
        <f t="shared" ca="1" si="1"/>
        <v>68</v>
      </c>
      <c r="G61" s="2" t="s">
        <v>127</v>
      </c>
      <c r="H61" s="2" t="s">
        <v>125</v>
      </c>
      <c r="I61" s="2" t="s">
        <v>16</v>
      </c>
      <c r="J61" s="2" t="s">
        <v>89</v>
      </c>
      <c r="K61" s="2" t="s">
        <v>18</v>
      </c>
      <c r="L61" s="2" t="s">
        <v>25</v>
      </c>
      <c r="M61" s="2" t="s">
        <v>245</v>
      </c>
      <c r="N61" s="2" t="s">
        <v>284</v>
      </c>
      <c r="O61" s="2" t="s">
        <v>285</v>
      </c>
    </row>
    <row r="62" spans="1:15" ht="15.75" hidden="1" customHeight="1" x14ac:dyDescent="0.35">
      <c r="A62">
        <v>61</v>
      </c>
      <c r="B62" s="2" t="s">
        <v>288</v>
      </c>
      <c r="C62" s="1" t="s">
        <v>286</v>
      </c>
      <c r="D62" s="1" t="s">
        <v>287</v>
      </c>
      <c r="E62" s="2" t="s">
        <v>124</v>
      </c>
      <c r="F62" s="2">
        <f t="shared" ca="1" si="1"/>
        <v>46</v>
      </c>
      <c r="G62" s="2" t="s">
        <v>127</v>
      </c>
      <c r="H62" s="2" t="s">
        <v>125</v>
      </c>
      <c r="I62" s="2" t="s">
        <v>16</v>
      </c>
      <c r="J62" s="2" t="s">
        <v>85</v>
      </c>
      <c r="K62" s="2" t="s">
        <v>18</v>
      </c>
      <c r="L62" s="2" t="s">
        <v>25</v>
      </c>
      <c r="M62" s="2" t="s">
        <v>26</v>
      </c>
      <c r="N62" s="2" t="s">
        <v>289</v>
      </c>
      <c r="O62" s="2" t="s">
        <v>290</v>
      </c>
    </row>
    <row r="63" spans="1:15" ht="15.75" hidden="1" customHeight="1" x14ac:dyDescent="0.35">
      <c r="A63">
        <v>62</v>
      </c>
      <c r="B63" s="2" t="s">
        <v>292</v>
      </c>
      <c r="C63" s="1" t="s">
        <v>677</v>
      </c>
      <c r="D63" s="1" t="s">
        <v>291</v>
      </c>
      <c r="E63" s="2" t="s">
        <v>124</v>
      </c>
      <c r="F63" s="2">
        <f t="shared" ca="1" si="1"/>
        <v>55</v>
      </c>
      <c r="G63" s="2" t="s">
        <v>132</v>
      </c>
      <c r="H63" s="2" t="s">
        <v>125</v>
      </c>
      <c r="I63" s="2" t="s">
        <v>16</v>
      </c>
      <c r="J63" s="2" t="s">
        <v>10</v>
      </c>
      <c r="K63" s="2" t="s">
        <v>10</v>
      </c>
      <c r="L63" s="2" t="s">
        <v>25</v>
      </c>
      <c r="M63" s="2" t="s">
        <v>151</v>
      </c>
      <c r="N63" s="2" t="s">
        <v>293</v>
      </c>
      <c r="O63" s="3" t="s">
        <v>294</v>
      </c>
    </row>
    <row r="64" spans="1:15" ht="15.75" hidden="1" customHeight="1" x14ac:dyDescent="0.35">
      <c r="A64">
        <v>63</v>
      </c>
      <c r="B64" s="2" t="s">
        <v>296</v>
      </c>
      <c r="C64" s="1" t="s">
        <v>678</v>
      </c>
      <c r="D64" s="1" t="s">
        <v>295</v>
      </c>
      <c r="E64" s="2" t="s">
        <v>124</v>
      </c>
      <c r="F64" s="2">
        <f t="shared" ca="1" si="1"/>
        <v>43</v>
      </c>
      <c r="G64" s="2" t="s">
        <v>127</v>
      </c>
      <c r="H64" s="2" t="s">
        <v>149</v>
      </c>
      <c r="I64" s="2" t="s">
        <v>16</v>
      </c>
      <c r="J64" s="2" t="s">
        <v>89</v>
      </c>
      <c r="K64" s="2" t="s">
        <v>18</v>
      </c>
      <c r="L64" s="2" t="s">
        <v>25</v>
      </c>
      <c r="M64" s="2" t="s">
        <v>297</v>
      </c>
      <c r="N64" s="2" t="s">
        <v>298</v>
      </c>
      <c r="O64" s="3" t="s">
        <v>299</v>
      </c>
    </row>
    <row r="65" spans="1:15" ht="15.75" hidden="1" customHeight="1" x14ac:dyDescent="0.35">
      <c r="A65">
        <v>64</v>
      </c>
      <c r="B65" s="2" t="s">
        <v>301</v>
      </c>
      <c r="C65" s="1" t="s">
        <v>300</v>
      </c>
      <c r="D65" s="1" t="s">
        <v>692</v>
      </c>
      <c r="E65" s="2" t="s">
        <v>124</v>
      </c>
      <c r="F65" s="2">
        <f t="shared" ca="1" si="1"/>
        <v>33</v>
      </c>
      <c r="G65" s="2" t="s">
        <v>127</v>
      </c>
      <c r="H65" s="2" t="s">
        <v>125</v>
      </c>
      <c r="I65" s="2" t="s">
        <v>185</v>
      </c>
      <c r="J65" s="2" t="s">
        <v>85</v>
      </c>
      <c r="K65" s="2" t="s">
        <v>18</v>
      </c>
      <c r="L65" s="2" t="s">
        <v>25</v>
      </c>
      <c r="M65" s="2" t="s">
        <v>35</v>
      </c>
      <c r="N65" s="2" t="s">
        <v>302</v>
      </c>
      <c r="O65" s="2" t="s">
        <v>303</v>
      </c>
    </row>
    <row r="66" spans="1:15" ht="15.75" hidden="1" customHeight="1" x14ac:dyDescent="0.35">
      <c r="A66">
        <v>65</v>
      </c>
      <c r="B66" s="2" t="s">
        <v>306</v>
      </c>
      <c r="C66" s="1" t="s">
        <v>304</v>
      </c>
      <c r="D66" s="1" t="s">
        <v>305</v>
      </c>
      <c r="E66" s="2" t="s">
        <v>139</v>
      </c>
      <c r="F66" s="2">
        <f t="shared" ref="F66:F97" ca="1" si="2">RANDBETWEEN(25, 69)</f>
        <v>65</v>
      </c>
      <c r="G66" s="2" t="s">
        <v>127</v>
      </c>
      <c r="H66" s="2" t="s">
        <v>125</v>
      </c>
      <c r="I66" s="2" t="s">
        <v>16</v>
      </c>
      <c r="J66" s="2" t="s">
        <v>85</v>
      </c>
      <c r="K66" s="2" t="s">
        <v>18</v>
      </c>
      <c r="L66" s="2" t="s">
        <v>25</v>
      </c>
      <c r="M66" s="2" t="s">
        <v>47</v>
      </c>
      <c r="N66" s="2" t="s">
        <v>307</v>
      </c>
      <c r="O66" s="2" t="s">
        <v>308</v>
      </c>
    </row>
    <row r="67" spans="1:15" ht="15.75" hidden="1" customHeight="1" x14ac:dyDescent="0.35">
      <c r="A67">
        <v>66</v>
      </c>
      <c r="B67" s="2" t="s">
        <v>311</v>
      </c>
      <c r="C67" s="1" t="s">
        <v>309</v>
      </c>
      <c r="D67" s="1" t="s">
        <v>310</v>
      </c>
      <c r="E67" s="2" t="s">
        <v>124</v>
      </c>
      <c r="F67" s="2">
        <f t="shared" ca="1" si="2"/>
        <v>41</v>
      </c>
      <c r="G67" s="2" t="s">
        <v>127</v>
      </c>
      <c r="H67" s="2" t="s">
        <v>149</v>
      </c>
      <c r="I67" s="2" t="s">
        <v>16</v>
      </c>
      <c r="J67" s="2" t="s">
        <v>10</v>
      </c>
      <c r="K67" s="2" t="s">
        <v>10</v>
      </c>
      <c r="L67" s="2" t="s">
        <v>25</v>
      </c>
      <c r="M67" s="2" t="s">
        <v>312</v>
      </c>
      <c r="N67" s="2" t="s">
        <v>313</v>
      </c>
      <c r="O67" s="2" t="s">
        <v>314</v>
      </c>
    </row>
    <row r="68" spans="1:15" ht="15.75" hidden="1" customHeight="1" x14ac:dyDescent="0.35">
      <c r="A68">
        <v>67</v>
      </c>
      <c r="B68" s="2" t="s">
        <v>316</v>
      </c>
      <c r="C68" s="1" t="s">
        <v>315</v>
      </c>
      <c r="D68" s="1" t="s">
        <v>688</v>
      </c>
      <c r="E68" s="2" t="s">
        <v>139</v>
      </c>
      <c r="F68" s="2">
        <f t="shared" ca="1" si="2"/>
        <v>55</v>
      </c>
      <c r="G68" s="2" t="s">
        <v>127</v>
      </c>
      <c r="H68" s="2" t="s">
        <v>149</v>
      </c>
      <c r="I68" s="2" t="s">
        <v>16</v>
      </c>
      <c r="J68" s="2" t="s">
        <v>89</v>
      </c>
      <c r="K68" s="2" t="s">
        <v>18</v>
      </c>
      <c r="L68" s="2" t="s">
        <v>25</v>
      </c>
      <c r="M68" s="2" t="s">
        <v>312</v>
      </c>
      <c r="N68" s="2" t="s">
        <v>317</v>
      </c>
      <c r="O68" s="2" t="s">
        <v>318</v>
      </c>
    </row>
    <row r="69" spans="1:15" ht="15.75" hidden="1" customHeight="1" x14ac:dyDescent="0.35">
      <c r="A69">
        <v>68</v>
      </c>
      <c r="B69" s="2" t="s">
        <v>320</v>
      </c>
      <c r="C69" s="1" t="s">
        <v>319</v>
      </c>
      <c r="D69" s="1" t="s">
        <v>136</v>
      </c>
      <c r="E69" s="2" t="s">
        <v>124</v>
      </c>
      <c r="F69" s="2">
        <f t="shared" ca="1" si="2"/>
        <v>41</v>
      </c>
      <c r="G69" s="2" t="s">
        <v>127</v>
      </c>
      <c r="H69" s="2" t="s">
        <v>125</v>
      </c>
      <c r="I69" s="2" t="s">
        <v>16</v>
      </c>
      <c r="J69" s="2" t="s">
        <v>89</v>
      </c>
      <c r="K69" s="2" t="s">
        <v>18</v>
      </c>
      <c r="L69" s="2" t="s">
        <v>25</v>
      </c>
      <c r="M69" s="2" t="s">
        <v>312</v>
      </c>
      <c r="N69" s="2" t="s">
        <v>321</v>
      </c>
      <c r="O69" s="2" t="s">
        <v>322</v>
      </c>
    </row>
    <row r="70" spans="1:15" ht="15.75" hidden="1" customHeight="1" x14ac:dyDescent="0.35">
      <c r="A70">
        <v>69</v>
      </c>
      <c r="B70" s="2" t="s">
        <v>326</v>
      </c>
      <c r="C70" s="1" t="s">
        <v>323</v>
      </c>
      <c r="D70" s="1" t="s">
        <v>325</v>
      </c>
      <c r="E70" s="2" t="s">
        <v>124</v>
      </c>
      <c r="F70" s="2">
        <f t="shared" ca="1" si="2"/>
        <v>41</v>
      </c>
      <c r="G70" s="2" t="s">
        <v>127</v>
      </c>
      <c r="H70" s="2" t="s">
        <v>125</v>
      </c>
      <c r="I70" s="2" t="s">
        <v>205</v>
      </c>
      <c r="J70" s="2" t="s">
        <v>17</v>
      </c>
      <c r="K70" s="2" t="s">
        <v>18</v>
      </c>
      <c r="L70" s="2" t="s">
        <v>25</v>
      </c>
      <c r="M70" s="2" t="s">
        <v>26</v>
      </c>
      <c r="N70" s="2" t="s">
        <v>327</v>
      </c>
      <c r="O70" s="2" t="s">
        <v>328</v>
      </c>
    </row>
    <row r="71" spans="1:15" ht="15.75" hidden="1" customHeight="1" x14ac:dyDescent="0.35">
      <c r="A71">
        <v>70</v>
      </c>
      <c r="B71" s="2" t="s">
        <v>330</v>
      </c>
      <c r="C71" s="1" t="s">
        <v>679</v>
      </c>
      <c r="D71" s="1" t="s">
        <v>329</v>
      </c>
      <c r="E71" s="2" t="s">
        <v>139</v>
      </c>
      <c r="F71" s="2">
        <f t="shared" ca="1" si="2"/>
        <v>67</v>
      </c>
      <c r="G71" s="2" t="s">
        <v>127</v>
      </c>
      <c r="H71" s="2" t="s">
        <v>149</v>
      </c>
      <c r="I71" s="2" t="s">
        <v>43</v>
      </c>
      <c r="J71" s="2" t="s">
        <v>10</v>
      </c>
      <c r="K71" s="2" t="s">
        <v>10</v>
      </c>
      <c r="L71" s="2" t="s">
        <v>19</v>
      </c>
      <c r="M71" s="2" t="s">
        <v>12</v>
      </c>
      <c r="N71" s="2" t="s">
        <v>331</v>
      </c>
      <c r="O71" s="2" t="s">
        <v>332</v>
      </c>
    </row>
    <row r="72" spans="1:15" ht="15.75" hidden="1" customHeight="1" x14ac:dyDescent="0.35">
      <c r="A72">
        <v>71</v>
      </c>
      <c r="B72" s="2" t="s">
        <v>335</v>
      </c>
      <c r="C72" s="1" t="s">
        <v>333</v>
      </c>
      <c r="D72" s="1" t="s">
        <v>334</v>
      </c>
      <c r="E72" s="2" t="s">
        <v>124</v>
      </c>
      <c r="F72" s="2">
        <f t="shared" ca="1" si="2"/>
        <v>49</v>
      </c>
      <c r="G72" s="2" t="s">
        <v>127</v>
      </c>
      <c r="H72" s="2" t="s">
        <v>125</v>
      </c>
      <c r="I72" s="2" t="s">
        <v>16</v>
      </c>
      <c r="J72" s="2" t="s">
        <v>85</v>
      </c>
      <c r="K72" s="2" t="s">
        <v>18</v>
      </c>
      <c r="L72" s="2" t="s">
        <v>25</v>
      </c>
      <c r="M72" s="2" t="s">
        <v>35</v>
      </c>
      <c r="N72" s="2" t="s">
        <v>336</v>
      </c>
      <c r="O72" s="2" t="s">
        <v>337</v>
      </c>
    </row>
    <row r="73" spans="1:15" ht="15.75" hidden="1" customHeight="1" x14ac:dyDescent="0.35">
      <c r="A73">
        <v>72</v>
      </c>
      <c r="B73" s="2" t="s">
        <v>340</v>
      </c>
      <c r="C73" s="1" t="s">
        <v>338</v>
      </c>
      <c r="D73" s="1" t="s">
        <v>339</v>
      </c>
      <c r="E73" s="2" t="s">
        <v>124</v>
      </c>
      <c r="F73" s="2">
        <f t="shared" ca="1" si="2"/>
        <v>60</v>
      </c>
      <c r="G73" s="2" t="s">
        <v>127</v>
      </c>
      <c r="H73" s="2" t="s">
        <v>125</v>
      </c>
      <c r="I73" s="2" t="s">
        <v>16</v>
      </c>
      <c r="J73" s="2" t="s">
        <v>34</v>
      </c>
      <c r="K73" s="2" t="s">
        <v>18</v>
      </c>
      <c r="L73" s="2" t="s">
        <v>25</v>
      </c>
      <c r="M73" s="2" t="s">
        <v>35</v>
      </c>
      <c r="N73" s="2" t="s">
        <v>341</v>
      </c>
      <c r="O73" s="2" t="s">
        <v>342</v>
      </c>
    </row>
    <row r="74" spans="1:15" ht="15.75" hidden="1" customHeight="1" x14ac:dyDescent="0.35">
      <c r="A74">
        <v>73</v>
      </c>
      <c r="B74" s="2" t="s">
        <v>345</v>
      </c>
      <c r="C74" s="1" t="s">
        <v>343</v>
      </c>
      <c r="D74" s="1" t="s">
        <v>344</v>
      </c>
      <c r="E74" s="2" t="s">
        <v>124</v>
      </c>
      <c r="F74" s="2">
        <f t="shared" ca="1" si="2"/>
        <v>55</v>
      </c>
      <c r="G74" s="2" t="s">
        <v>127</v>
      </c>
      <c r="H74" s="2" t="s">
        <v>125</v>
      </c>
      <c r="I74" s="2" t="s">
        <v>16</v>
      </c>
      <c r="J74" s="2" t="s">
        <v>89</v>
      </c>
      <c r="K74" s="2" t="s">
        <v>18</v>
      </c>
      <c r="L74" s="2" t="s">
        <v>25</v>
      </c>
      <c r="M74" s="2" t="s">
        <v>312</v>
      </c>
      <c r="N74" s="2" t="s">
        <v>346</v>
      </c>
      <c r="O74" s="2" t="s">
        <v>347</v>
      </c>
    </row>
    <row r="75" spans="1:15" ht="15.75" hidden="1" customHeight="1" x14ac:dyDescent="0.35">
      <c r="A75">
        <v>74</v>
      </c>
      <c r="B75" s="2" t="s">
        <v>349</v>
      </c>
      <c r="C75" s="1" t="s">
        <v>348</v>
      </c>
      <c r="D75" s="1" t="s">
        <v>693</v>
      </c>
      <c r="E75" s="2" t="s">
        <v>124</v>
      </c>
      <c r="F75" s="2">
        <f t="shared" ca="1" si="2"/>
        <v>27</v>
      </c>
      <c r="G75" s="2" t="s">
        <v>127</v>
      </c>
      <c r="H75" s="2" t="s">
        <v>145</v>
      </c>
      <c r="I75" s="2" t="s">
        <v>16</v>
      </c>
      <c r="J75" s="2" t="s">
        <v>10</v>
      </c>
      <c r="K75" s="2" t="s">
        <v>10</v>
      </c>
      <c r="L75" s="2" t="s">
        <v>25</v>
      </c>
      <c r="M75" s="2" t="s">
        <v>350</v>
      </c>
      <c r="N75" s="2" t="s">
        <v>351</v>
      </c>
      <c r="O75" s="2" t="s">
        <v>352</v>
      </c>
    </row>
    <row r="76" spans="1:15" ht="15.75" hidden="1" customHeight="1" x14ac:dyDescent="0.35">
      <c r="A76">
        <v>75</v>
      </c>
      <c r="B76" s="2" t="s">
        <v>355</v>
      </c>
      <c r="C76" s="1" t="s">
        <v>193</v>
      </c>
      <c r="D76" s="1" t="s">
        <v>354</v>
      </c>
      <c r="E76" s="2" t="s">
        <v>124</v>
      </c>
      <c r="F76" s="2">
        <f t="shared" ca="1" si="2"/>
        <v>26</v>
      </c>
      <c r="G76" s="2" t="s">
        <v>127</v>
      </c>
      <c r="H76" s="2" t="s">
        <v>125</v>
      </c>
      <c r="I76" s="2" t="s">
        <v>16</v>
      </c>
      <c r="J76" s="2" t="s">
        <v>89</v>
      </c>
      <c r="K76" s="2" t="s">
        <v>18</v>
      </c>
      <c r="L76" s="2" t="s">
        <v>19</v>
      </c>
      <c r="M76" s="2" t="s">
        <v>12</v>
      </c>
      <c r="N76" s="2" t="s">
        <v>356</v>
      </c>
      <c r="O76" s="2" t="s">
        <v>357</v>
      </c>
    </row>
    <row r="77" spans="1:15" ht="15.75" hidden="1" customHeight="1" x14ac:dyDescent="0.35">
      <c r="A77">
        <v>76</v>
      </c>
      <c r="B77" s="2" t="s">
        <v>359</v>
      </c>
      <c r="C77" s="1" t="s">
        <v>680</v>
      </c>
      <c r="D77" s="1" t="s">
        <v>694</v>
      </c>
      <c r="E77" s="2" t="s">
        <v>124</v>
      </c>
      <c r="F77" s="2">
        <f t="shared" ca="1" si="2"/>
        <v>35</v>
      </c>
      <c r="G77" s="2" t="s">
        <v>127</v>
      </c>
      <c r="H77" s="2" t="s">
        <v>149</v>
      </c>
      <c r="I77" s="2" t="s">
        <v>205</v>
      </c>
      <c r="J77" s="2" t="s">
        <v>85</v>
      </c>
      <c r="K77" s="2" t="s">
        <v>18</v>
      </c>
      <c r="L77" s="2" t="s">
        <v>11</v>
      </c>
      <c r="M77" s="2" t="s">
        <v>35</v>
      </c>
      <c r="N77" s="2" t="s">
        <v>360</v>
      </c>
      <c r="O77" s="2" t="s">
        <v>361</v>
      </c>
    </row>
    <row r="78" spans="1:15" ht="15.75" hidden="1" customHeight="1" x14ac:dyDescent="0.35">
      <c r="A78">
        <v>77</v>
      </c>
      <c r="B78" s="2" t="s">
        <v>363</v>
      </c>
      <c r="C78" s="1" t="s">
        <v>362</v>
      </c>
      <c r="D78" s="1" t="s">
        <v>137</v>
      </c>
      <c r="E78" s="2" t="s">
        <v>124</v>
      </c>
      <c r="F78" s="2">
        <f t="shared" ca="1" si="2"/>
        <v>37</v>
      </c>
      <c r="G78" s="2" t="s">
        <v>127</v>
      </c>
      <c r="H78" s="2" t="s">
        <v>149</v>
      </c>
      <c r="I78" s="2" t="s">
        <v>62</v>
      </c>
      <c r="J78" s="2" t="s">
        <v>17</v>
      </c>
      <c r="K78" s="2" t="s">
        <v>18</v>
      </c>
      <c r="L78" s="2" t="s">
        <v>19</v>
      </c>
      <c r="M78" s="2" t="s">
        <v>12</v>
      </c>
      <c r="N78" s="2" t="s">
        <v>364</v>
      </c>
      <c r="O78" s="2" t="s">
        <v>365</v>
      </c>
    </row>
    <row r="79" spans="1:15" ht="15.75" hidden="1" customHeight="1" x14ac:dyDescent="0.35">
      <c r="A79">
        <v>78</v>
      </c>
      <c r="B79" s="2" t="s">
        <v>367</v>
      </c>
      <c r="C79" s="1" t="s">
        <v>366</v>
      </c>
      <c r="D79" s="1" t="s">
        <v>695</v>
      </c>
      <c r="E79" s="2" t="s">
        <v>139</v>
      </c>
      <c r="F79" s="2">
        <f t="shared" ca="1" si="2"/>
        <v>43</v>
      </c>
      <c r="G79" s="2" t="s">
        <v>127</v>
      </c>
      <c r="H79" s="2" t="s">
        <v>145</v>
      </c>
      <c r="I79" s="2" t="s">
        <v>62</v>
      </c>
      <c r="J79" s="2" t="s">
        <v>24</v>
      </c>
      <c r="K79" s="2" t="s">
        <v>18</v>
      </c>
      <c r="L79" s="2" t="s">
        <v>19</v>
      </c>
      <c r="M79" s="2" t="s">
        <v>12</v>
      </c>
      <c r="N79" s="2" t="s">
        <v>368</v>
      </c>
      <c r="O79" s="2" t="s">
        <v>369</v>
      </c>
    </row>
    <row r="80" spans="1:15" ht="15.75" hidden="1" customHeight="1" x14ac:dyDescent="0.35">
      <c r="A80">
        <v>79</v>
      </c>
      <c r="B80" s="2" t="s">
        <v>371</v>
      </c>
      <c r="C80" s="1" t="s">
        <v>370</v>
      </c>
      <c r="D80" s="1" t="s">
        <v>137</v>
      </c>
      <c r="E80" s="2" t="s">
        <v>124</v>
      </c>
      <c r="F80" s="2">
        <f t="shared" ca="1" si="2"/>
        <v>39</v>
      </c>
      <c r="G80" s="2" t="s">
        <v>127</v>
      </c>
      <c r="H80" s="2" t="s">
        <v>125</v>
      </c>
      <c r="I80" s="2" t="s">
        <v>16</v>
      </c>
      <c r="J80" s="2" t="s">
        <v>17</v>
      </c>
      <c r="K80" s="2" t="s">
        <v>18</v>
      </c>
      <c r="L80" s="2" t="s">
        <v>19</v>
      </c>
      <c r="M80" s="2" t="s">
        <v>12</v>
      </c>
      <c r="N80" s="2" t="s">
        <v>372</v>
      </c>
      <c r="O80" s="2" t="s">
        <v>373</v>
      </c>
    </row>
    <row r="81" spans="1:15" ht="15.75" hidden="1" customHeight="1" x14ac:dyDescent="0.35">
      <c r="A81">
        <v>80</v>
      </c>
      <c r="B81" s="2" t="s">
        <v>375</v>
      </c>
      <c r="C81" s="1" t="s">
        <v>199</v>
      </c>
      <c r="D81" s="1" t="s">
        <v>374</v>
      </c>
      <c r="E81" s="2" t="s">
        <v>124</v>
      </c>
      <c r="F81" s="2">
        <f t="shared" ca="1" si="2"/>
        <v>44</v>
      </c>
      <c r="G81" s="2" t="s">
        <v>127</v>
      </c>
      <c r="H81" s="2" t="s">
        <v>149</v>
      </c>
      <c r="I81" s="2" t="s">
        <v>62</v>
      </c>
      <c r="J81" s="2" t="s">
        <v>24</v>
      </c>
      <c r="K81" s="2" t="s">
        <v>18</v>
      </c>
      <c r="L81" s="2" t="s">
        <v>19</v>
      </c>
      <c r="M81" s="2" t="s">
        <v>12</v>
      </c>
      <c r="N81" s="2" t="s">
        <v>376</v>
      </c>
      <c r="O81" s="2" t="s">
        <v>377</v>
      </c>
    </row>
    <row r="82" spans="1:15" ht="15.75" hidden="1" customHeight="1" x14ac:dyDescent="0.35">
      <c r="A82">
        <v>81</v>
      </c>
      <c r="B82" s="2" t="s">
        <v>378</v>
      </c>
      <c r="C82" s="1" t="s">
        <v>681</v>
      </c>
      <c r="D82" s="1" t="s">
        <v>696</v>
      </c>
      <c r="E82" s="2" t="s">
        <v>124</v>
      </c>
      <c r="F82" s="2">
        <f t="shared" ca="1" si="2"/>
        <v>43</v>
      </c>
      <c r="G82" s="2" t="s">
        <v>127</v>
      </c>
      <c r="H82" s="2" t="s">
        <v>149</v>
      </c>
      <c r="I82" s="2" t="s">
        <v>205</v>
      </c>
      <c r="J82" s="2" t="s">
        <v>10</v>
      </c>
      <c r="K82" s="2" t="s">
        <v>10</v>
      </c>
      <c r="L82" s="2" t="s">
        <v>11</v>
      </c>
      <c r="M82" s="2" t="s">
        <v>35</v>
      </c>
      <c r="N82" s="2" t="s">
        <v>379</v>
      </c>
      <c r="O82" s="2" t="s">
        <v>380</v>
      </c>
    </row>
    <row r="83" spans="1:15" ht="15.75" hidden="1" customHeight="1" x14ac:dyDescent="0.35">
      <c r="A83">
        <v>82</v>
      </c>
      <c r="B83" s="2" t="s">
        <v>383</v>
      </c>
      <c r="C83" s="1" t="s">
        <v>381</v>
      </c>
      <c r="D83" s="1" t="s">
        <v>382</v>
      </c>
      <c r="E83" s="2" t="s">
        <v>139</v>
      </c>
      <c r="F83" s="2">
        <f t="shared" ca="1" si="2"/>
        <v>51</v>
      </c>
      <c r="G83" s="2" t="s">
        <v>127</v>
      </c>
      <c r="H83" s="2" t="s">
        <v>149</v>
      </c>
      <c r="I83" s="2" t="s">
        <v>62</v>
      </c>
      <c r="J83" s="2" t="s">
        <v>24</v>
      </c>
      <c r="K83" s="2" t="s">
        <v>18</v>
      </c>
      <c r="L83" s="2" t="s">
        <v>19</v>
      </c>
      <c r="M83" s="2" t="s">
        <v>12</v>
      </c>
      <c r="N83" s="2" t="s">
        <v>384</v>
      </c>
      <c r="O83" s="2" t="s">
        <v>385</v>
      </c>
    </row>
    <row r="84" spans="1:15" ht="15.75" hidden="1" customHeight="1" x14ac:dyDescent="0.35">
      <c r="A84">
        <v>83</v>
      </c>
      <c r="B84" s="2" t="s">
        <v>387</v>
      </c>
      <c r="C84" s="1" t="s">
        <v>232</v>
      </c>
      <c r="D84" s="1" t="s">
        <v>386</v>
      </c>
      <c r="E84" s="2" t="s">
        <v>124</v>
      </c>
      <c r="F84" s="2">
        <f t="shared" ca="1" si="2"/>
        <v>28</v>
      </c>
      <c r="G84" s="2" t="s">
        <v>127</v>
      </c>
      <c r="H84" s="2" t="s">
        <v>125</v>
      </c>
      <c r="I84" s="2" t="s">
        <v>43</v>
      </c>
      <c r="J84" s="2" t="s">
        <v>17</v>
      </c>
      <c r="K84" s="2" t="s">
        <v>18</v>
      </c>
      <c r="L84" s="2" t="s">
        <v>19</v>
      </c>
      <c r="M84" s="2" t="s">
        <v>12</v>
      </c>
      <c r="N84" s="2" t="s">
        <v>388</v>
      </c>
      <c r="O84" s="2" t="s">
        <v>389</v>
      </c>
    </row>
    <row r="85" spans="1:15" ht="15.75" hidden="1" customHeight="1" x14ac:dyDescent="0.35">
      <c r="A85">
        <v>84</v>
      </c>
      <c r="B85" s="2" t="s">
        <v>391</v>
      </c>
      <c r="C85" s="1" t="s">
        <v>390</v>
      </c>
      <c r="D85" s="1" t="s">
        <v>172</v>
      </c>
      <c r="E85" s="2" t="s">
        <v>124</v>
      </c>
      <c r="F85" s="2">
        <f t="shared" ca="1" si="2"/>
        <v>27</v>
      </c>
      <c r="G85" s="2" t="s">
        <v>127</v>
      </c>
      <c r="H85" s="2" t="s">
        <v>125</v>
      </c>
      <c r="I85" s="2" t="s">
        <v>16</v>
      </c>
      <c r="J85" s="2" t="s">
        <v>85</v>
      </c>
      <c r="K85" s="2" t="s">
        <v>18</v>
      </c>
      <c r="L85" s="2" t="s">
        <v>25</v>
      </c>
      <c r="M85" s="2" t="s">
        <v>26</v>
      </c>
      <c r="N85" s="2" t="s">
        <v>392</v>
      </c>
      <c r="O85" s="2" t="s">
        <v>393</v>
      </c>
    </row>
    <row r="86" spans="1:15" ht="15.75" hidden="1" customHeight="1" x14ac:dyDescent="0.35">
      <c r="A86">
        <v>85</v>
      </c>
      <c r="B86" s="2" t="s">
        <v>395</v>
      </c>
      <c r="C86" s="1" t="s">
        <v>362</v>
      </c>
      <c r="D86" s="1" t="s">
        <v>394</v>
      </c>
      <c r="E86" s="2" t="s">
        <v>124</v>
      </c>
      <c r="F86" s="2">
        <f t="shared" ca="1" si="2"/>
        <v>34</v>
      </c>
      <c r="G86" s="2" t="s">
        <v>127</v>
      </c>
      <c r="H86" s="2" t="s">
        <v>149</v>
      </c>
      <c r="I86" s="2" t="s">
        <v>16</v>
      </c>
      <c r="J86" s="2" t="s">
        <v>24</v>
      </c>
      <c r="K86" s="2" t="s">
        <v>18</v>
      </c>
      <c r="L86" s="2" t="s">
        <v>19</v>
      </c>
      <c r="M86" s="2" t="s">
        <v>206</v>
      </c>
      <c r="N86" s="2" t="s">
        <v>396</v>
      </c>
      <c r="O86" s="2" t="s">
        <v>397</v>
      </c>
    </row>
    <row r="87" spans="1:15" ht="15.75" hidden="1" customHeight="1" x14ac:dyDescent="0.35">
      <c r="A87">
        <v>86</v>
      </c>
      <c r="B87" s="2" t="s">
        <v>400</v>
      </c>
      <c r="C87" s="1" t="s">
        <v>398</v>
      </c>
      <c r="D87" s="1" t="s">
        <v>399</v>
      </c>
      <c r="E87" s="2" t="s">
        <v>124</v>
      </c>
      <c r="F87" s="2">
        <f t="shared" ca="1" si="2"/>
        <v>64</v>
      </c>
      <c r="G87" s="2" t="s">
        <v>127</v>
      </c>
      <c r="H87" s="2" t="s">
        <v>149</v>
      </c>
      <c r="I87" s="2" t="s">
        <v>16</v>
      </c>
      <c r="J87" s="2" t="s">
        <v>89</v>
      </c>
      <c r="K87" s="2" t="s">
        <v>18</v>
      </c>
      <c r="L87" s="2" t="s">
        <v>19</v>
      </c>
      <c r="M87" s="2" t="s">
        <v>206</v>
      </c>
      <c r="N87" s="2" t="s">
        <v>401</v>
      </c>
      <c r="O87" s="2" t="s">
        <v>402</v>
      </c>
    </row>
    <row r="88" spans="1:15" ht="15.75" hidden="1" customHeight="1" x14ac:dyDescent="0.35">
      <c r="A88">
        <v>87</v>
      </c>
      <c r="B88" s="2" t="s">
        <v>404</v>
      </c>
      <c r="C88" s="1" t="s">
        <v>403</v>
      </c>
      <c r="D88" s="1" t="s">
        <v>697</v>
      </c>
      <c r="E88" s="2" t="s">
        <v>124</v>
      </c>
      <c r="F88" s="2">
        <f t="shared" ca="1" si="2"/>
        <v>31</v>
      </c>
      <c r="G88" s="2" t="s">
        <v>127</v>
      </c>
      <c r="H88" s="2" t="s">
        <v>125</v>
      </c>
      <c r="I88" s="2" t="s">
        <v>16</v>
      </c>
      <c r="J88" s="2" t="s">
        <v>17</v>
      </c>
      <c r="K88" s="2" t="s">
        <v>18</v>
      </c>
      <c r="L88" s="2" t="s">
        <v>19</v>
      </c>
      <c r="M88" s="2" t="s">
        <v>206</v>
      </c>
      <c r="N88" s="2" t="s">
        <v>405</v>
      </c>
      <c r="O88" s="2" t="s">
        <v>406</v>
      </c>
    </row>
    <row r="89" spans="1:15" ht="15.75" hidden="1" customHeight="1" x14ac:dyDescent="0.35">
      <c r="A89">
        <v>88</v>
      </c>
      <c r="B89" s="2" t="s">
        <v>409</v>
      </c>
      <c r="C89" s="1" t="s">
        <v>407</v>
      </c>
      <c r="D89" s="1" t="s">
        <v>408</v>
      </c>
      <c r="E89" s="2" t="s">
        <v>124</v>
      </c>
      <c r="F89" s="2">
        <f t="shared" ca="1" si="2"/>
        <v>55</v>
      </c>
      <c r="G89" s="2" t="s">
        <v>127</v>
      </c>
      <c r="H89" s="2" t="s">
        <v>145</v>
      </c>
      <c r="I89" s="2" t="s">
        <v>16</v>
      </c>
      <c r="J89" s="2" t="s">
        <v>89</v>
      </c>
      <c r="K89" s="2" t="s">
        <v>18</v>
      </c>
      <c r="L89" s="2" t="s">
        <v>19</v>
      </c>
      <c r="M89" s="2" t="s">
        <v>12</v>
      </c>
      <c r="N89" s="2" t="s">
        <v>410</v>
      </c>
      <c r="O89" s="2" t="s">
        <v>411</v>
      </c>
    </row>
    <row r="90" spans="1:15" ht="15.75" hidden="1" customHeight="1" x14ac:dyDescent="0.35">
      <c r="A90">
        <v>89</v>
      </c>
      <c r="B90" s="2" t="s">
        <v>413</v>
      </c>
      <c r="C90" s="1" t="s">
        <v>412</v>
      </c>
      <c r="D90" s="1" t="s">
        <v>698</v>
      </c>
      <c r="E90" s="2" t="s">
        <v>124</v>
      </c>
      <c r="F90" s="2">
        <f t="shared" ca="1" si="2"/>
        <v>59</v>
      </c>
      <c r="G90" s="2" t="s">
        <v>127</v>
      </c>
      <c r="H90" s="2" t="s">
        <v>149</v>
      </c>
      <c r="I90" s="2" t="s">
        <v>16</v>
      </c>
      <c r="J90" s="2" t="s">
        <v>89</v>
      </c>
      <c r="K90" s="2" t="s">
        <v>18</v>
      </c>
      <c r="L90" s="2" t="s">
        <v>19</v>
      </c>
      <c r="M90" s="2" t="s">
        <v>12</v>
      </c>
      <c r="N90" s="2" t="s">
        <v>414</v>
      </c>
      <c r="O90" s="2" t="s">
        <v>415</v>
      </c>
    </row>
    <row r="91" spans="1:15" ht="15.75" hidden="1" customHeight="1" x14ac:dyDescent="0.35">
      <c r="A91">
        <v>90</v>
      </c>
      <c r="B91" s="2" t="s">
        <v>417</v>
      </c>
      <c r="C91" s="1" t="s">
        <v>416</v>
      </c>
      <c r="D91" s="1" t="s">
        <v>600</v>
      </c>
      <c r="E91" s="2" t="s">
        <v>124</v>
      </c>
      <c r="F91" s="2">
        <f t="shared" ca="1" si="2"/>
        <v>34</v>
      </c>
      <c r="G91" s="2" t="s">
        <v>127</v>
      </c>
      <c r="H91" s="2" t="s">
        <v>149</v>
      </c>
      <c r="I91" s="2" t="s">
        <v>16</v>
      </c>
      <c r="J91" s="2" t="s">
        <v>24</v>
      </c>
      <c r="K91" s="2" t="s">
        <v>18</v>
      </c>
      <c r="L91" s="2" t="s">
        <v>19</v>
      </c>
      <c r="M91" s="2" t="s">
        <v>206</v>
      </c>
      <c r="N91" s="2" t="s">
        <v>418</v>
      </c>
      <c r="O91" s="2" t="s">
        <v>419</v>
      </c>
    </row>
    <row r="92" spans="1:15" ht="15.75" hidden="1" customHeight="1" x14ac:dyDescent="0.35">
      <c r="A92">
        <v>91</v>
      </c>
      <c r="B92" s="2" t="s">
        <v>422</v>
      </c>
      <c r="C92" s="1" t="s">
        <v>420</v>
      </c>
      <c r="D92" s="1" t="s">
        <v>421</v>
      </c>
      <c r="E92" s="2" t="s">
        <v>124</v>
      </c>
      <c r="F92" s="2">
        <f t="shared" ca="1" si="2"/>
        <v>43</v>
      </c>
      <c r="G92" s="2" t="s">
        <v>127</v>
      </c>
      <c r="H92" s="2" t="s">
        <v>145</v>
      </c>
      <c r="I92" s="2" t="s">
        <v>16</v>
      </c>
      <c r="J92" s="2" t="s">
        <v>89</v>
      </c>
      <c r="K92" s="2" t="s">
        <v>18</v>
      </c>
      <c r="L92" s="2" t="s">
        <v>19</v>
      </c>
      <c r="M92" s="2" t="s">
        <v>12</v>
      </c>
      <c r="N92" s="2" t="s">
        <v>423</v>
      </c>
      <c r="O92" s="2" t="s">
        <v>424</v>
      </c>
    </row>
    <row r="93" spans="1:15" ht="15.75" hidden="1" customHeight="1" x14ac:dyDescent="0.35">
      <c r="A93">
        <v>92</v>
      </c>
      <c r="B93" s="2" t="s">
        <v>426</v>
      </c>
      <c r="C93" s="1" t="s">
        <v>425</v>
      </c>
      <c r="D93" s="1" t="s">
        <v>699</v>
      </c>
      <c r="E93" s="2" t="s">
        <v>124</v>
      </c>
      <c r="F93" s="2">
        <f t="shared" ca="1" si="2"/>
        <v>55</v>
      </c>
      <c r="G93" s="2" t="s">
        <v>127</v>
      </c>
      <c r="H93" s="2" t="s">
        <v>145</v>
      </c>
      <c r="I93" s="2" t="s">
        <v>16</v>
      </c>
      <c r="J93" s="2" t="s">
        <v>89</v>
      </c>
      <c r="K93" s="2" t="s">
        <v>18</v>
      </c>
      <c r="L93" s="2" t="s">
        <v>25</v>
      </c>
      <c r="M93" s="2" t="s">
        <v>350</v>
      </c>
      <c r="N93" s="2" t="s">
        <v>427</v>
      </c>
      <c r="O93" s="2" t="s">
        <v>428</v>
      </c>
    </row>
    <row r="94" spans="1:15" ht="15.75" hidden="1" customHeight="1" x14ac:dyDescent="0.35">
      <c r="A94">
        <v>93</v>
      </c>
      <c r="B94" s="2" t="s">
        <v>431</v>
      </c>
      <c r="C94" s="1" t="s">
        <v>429</v>
      </c>
      <c r="D94" s="1" t="s">
        <v>253</v>
      </c>
      <c r="E94" s="2" t="s">
        <v>124</v>
      </c>
      <c r="F94" s="2">
        <f t="shared" ca="1" si="2"/>
        <v>47</v>
      </c>
      <c r="G94" s="2" t="s">
        <v>127</v>
      </c>
      <c r="H94" s="2" t="s">
        <v>125</v>
      </c>
      <c r="I94" s="2" t="s">
        <v>16</v>
      </c>
      <c r="J94" s="2" t="s">
        <v>85</v>
      </c>
      <c r="K94" s="2" t="s">
        <v>18</v>
      </c>
      <c r="L94" s="2" t="s">
        <v>19</v>
      </c>
      <c r="M94" s="2" t="s">
        <v>206</v>
      </c>
      <c r="N94" s="2" t="s">
        <v>432</v>
      </c>
      <c r="O94" s="2" t="s">
        <v>433</v>
      </c>
    </row>
    <row r="95" spans="1:15" ht="15.75" hidden="1" customHeight="1" x14ac:dyDescent="0.35">
      <c r="A95">
        <v>94</v>
      </c>
      <c r="B95" s="2" t="s">
        <v>435</v>
      </c>
      <c r="C95" s="1" t="s">
        <v>386</v>
      </c>
      <c r="D95" s="1" t="s">
        <v>434</v>
      </c>
      <c r="E95" s="2" t="s">
        <v>124</v>
      </c>
      <c r="F95" s="2">
        <f t="shared" ca="1" si="2"/>
        <v>35</v>
      </c>
      <c r="G95" s="2" t="s">
        <v>127</v>
      </c>
      <c r="H95" s="2" t="s">
        <v>125</v>
      </c>
      <c r="I95" s="2" t="s">
        <v>205</v>
      </c>
      <c r="J95" s="2" t="s">
        <v>85</v>
      </c>
      <c r="K95" s="2" t="s">
        <v>18</v>
      </c>
      <c r="L95" s="2" t="s">
        <v>11</v>
      </c>
      <c r="M95" s="2" t="s">
        <v>35</v>
      </c>
      <c r="N95" s="2" t="s">
        <v>436</v>
      </c>
      <c r="O95" s="2" t="s">
        <v>437</v>
      </c>
    </row>
    <row r="96" spans="1:15" ht="15.75" hidden="1" customHeight="1" x14ac:dyDescent="0.35">
      <c r="A96">
        <v>95</v>
      </c>
      <c r="B96" s="2" t="s">
        <v>439</v>
      </c>
      <c r="C96" s="1" t="s">
        <v>438</v>
      </c>
      <c r="D96" s="1" t="s">
        <v>324</v>
      </c>
      <c r="E96" s="2" t="s">
        <v>139</v>
      </c>
      <c r="F96" s="2">
        <f t="shared" ca="1" si="2"/>
        <v>42</v>
      </c>
      <c r="G96" s="2" t="s">
        <v>127</v>
      </c>
      <c r="H96" s="2" t="s">
        <v>125</v>
      </c>
      <c r="I96" s="2" t="s">
        <v>62</v>
      </c>
      <c r="J96" s="2" t="s">
        <v>85</v>
      </c>
      <c r="K96" s="2" t="s">
        <v>18</v>
      </c>
      <c r="L96" s="2" t="s">
        <v>19</v>
      </c>
      <c r="M96" s="2" t="s">
        <v>12</v>
      </c>
      <c r="N96" s="2" t="s">
        <v>440</v>
      </c>
      <c r="O96" s="2" t="s">
        <v>441</v>
      </c>
    </row>
    <row r="97" spans="1:15" ht="15.75" hidden="1" customHeight="1" x14ac:dyDescent="0.35">
      <c r="A97">
        <v>96</v>
      </c>
      <c r="B97" s="2" t="s">
        <v>443</v>
      </c>
      <c r="C97" s="1" t="s">
        <v>442</v>
      </c>
      <c r="D97" s="1" t="s">
        <v>358</v>
      </c>
      <c r="E97" s="2" t="s">
        <v>124</v>
      </c>
      <c r="F97" s="2">
        <f t="shared" ca="1" si="2"/>
        <v>62</v>
      </c>
      <c r="G97" s="2" t="s">
        <v>127</v>
      </c>
      <c r="H97" s="2" t="s">
        <v>125</v>
      </c>
      <c r="I97" s="2" t="s">
        <v>16</v>
      </c>
      <c r="J97" s="2" t="s">
        <v>34</v>
      </c>
      <c r="K97" s="2" t="s">
        <v>18</v>
      </c>
      <c r="L97" s="2" t="s">
        <v>25</v>
      </c>
      <c r="M97" s="2" t="s">
        <v>35</v>
      </c>
      <c r="N97" s="2" t="s">
        <v>444</v>
      </c>
      <c r="O97" s="2" t="s">
        <v>445</v>
      </c>
    </row>
    <row r="98" spans="1:15" ht="15.75" hidden="1" customHeight="1" x14ac:dyDescent="0.35">
      <c r="A98">
        <v>97</v>
      </c>
      <c r="B98" s="2" t="s">
        <v>446</v>
      </c>
      <c r="C98" s="1" t="s">
        <v>430</v>
      </c>
      <c r="D98" s="1" t="s">
        <v>700</v>
      </c>
      <c r="E98" s="2" t="s">
        <v>124</v>
      </c>
      <c r="F98" s="2">
        <f t="shared" ref="F98:F129" ca="1" si="3">RANDBETWEEN(25, 69)</f>
        <v>58</v>
      </c>
      <c r="G98" s="2" t="s">
        <v>127</v>
      </c>
      <c r="H98" s="2" t="s">
        <v>125</v>
      </c>
      <c r="I98" s="2" t="s">
        <v>62</v>
      </c>
      <c r="J98" s="2" t="s">
        <v>24</v>
      </c>
      <c r="K98" s="2" t="s">
        <v>18</v>
      </c>
      <c r="L98" s="2" t="s">
        <v>19</v>
      </c>
      <c r="M98" s="2" t="s">
        <v>12</v>
      </c>
      <c r="N98" s="2" t="s">
        <v>447</v>
      </c>
      <c r="O98" s="2" t="s">
        <v>448</v>
      </c>
    </row>
    <row r="99" spans="1:15" ht="15.75" hidden="1" customHeight="1" x14ac:dyDescent="0.35">
      <c r="A99">
        <v>98</v>
      </c>
      <c r="B99" s="2" t="s">
        <v>451</v>
      </c>
      <c r="C99" s="1" t="s">
        <v>449</v>
      </c>
      <c r="D99" s="1" t="s">
        <v>450</v>
      </c>
      <c r="E99" s="2" t="s">
        <v>124</v>
      </c>
      <c r="F99" s="2">
        <f t="shared" ca="1" si="3"/>
        <v>31</v>
      </c>
      <c r="G99" s="2" t="s">
        <v>127</v>
      </c>
      <c r="H99" s="2" t="s">
        <v>125</v>
      </c>
      <c r="I99" s="2" t="s">
        <v>62</v>
      </c>
      <c r="J99" s="2" t="s">
        <v>85</v>
      </c>
      <c r="K99" s="2" t="s">
        <v>18</v>
      </c>
      <c r="L99" s="2" t="s">
        <v>25</v>
      </c>
      <c r="M99" s="2" t="s">
        <v>35</v>
      </c>
      <c r="N99" s="2" t="s">
        <v>452</v>
      </c>
      <c r="O99" s="2" t="s">
        <v>453</v>
      </c>
    </row>
    <row r="100" spans="1:15" ht="15.75" hidden="1" customHeight="1" x14ac:dyDescent="0.35">
      <c r="A100">
        <v>99</v>
      </c>
      <c r="B100" s="2" t="s">
        <v>456</v>
      </c>
      <c r="C100" s="1" t="s">
        <v>454</v>
      </c>
      <c r="D100" s="1" t="s">
        <v>455</v>
      </c>
      <c r="E100" s="2" t="s">
        <v>124</v>
      </c>
      <c r="F100" s="2">
        <f t="shared" ca="1" si="3"/>
        <v>46</v>
      </c>
      <c r="G100" s="2" t="s">
        <v>127</v>
      </c>
      <c r="H100" s="2" t="s">
        <v>125</v>
      </c>
      <c r="I100" s="2" t="s">
        <v>16</v>
      </c>
      <c r="J100" s="2" t="s">
        <v>17</v>
      </c>
      <c r="K100" s="2" t="s">
        <v>18</v>
      </c>
      <c r="L100" s="2" t="s">
        <v>25</v>
      </c>
      <c r="M100" s="2" t="s">
        <v>35</v>
      </c>
      <c r="N100" s="2" t="s">
        <v>457</v>
      </c>
      <c r="O100" s="2" t="s">
        <v>458</v>
      </c>
    </row>
    <row r="101" spans="1:15" ht="15.75" hidden="1" customHeight="1" x14ac:dyDescent="0.35">
      <c r="A101">
        <v>100</v>
      </c>
      <c r="B101" s="2" t="s">
        <v>460</v>
      </c>
      <c r="C101" s="1" t="s">
        <v>459</v>
      </c>
      <c r="D101" s="1" t="s">
        <v>354</v>
      </c>
      <c r="E101" s="2" t="s">
        <v>124</v>
      </c>
      <c r="F101" s="2">
        <f t="shared" ca="1" si="3"/>
        <v>27</v>
      </c>
      <c r="G101" s="2" t="s">
        <v>127</v>
      </c>
      <c r="H101" s="2" t="s">
        <v>125</v>
      </c>
      <c r="I101" s="2" t="s">
        <v>62</v>
      </c>
      <c r="J101" s="2" t="s">
        <v>17</v>
      </c>
      <c r="K101" s="2" t="s">
        <v>18</v>
      </c>
      <c r="L101" s="2" t="s">
        <v>25</v>
      </c>
      <c r="M101" s="2" t="s">
        <v>35</v>
      </c>
      <c r="N101" s="2" t="s">
        <v>461</v>
      </c>
      <c r="O101" s="2" t="s">
        <v>462</v>
      </c>
    </row>
    <row r="102" spans="1:15" ht="15.75" hidden="1" customHeight="1" x14ac:dyDescent="0.35">
      <c r="A102">
        <v>101</v>
      </c>
      <c r="B102" s="2" t="s">
        <v>463</v>
      </c>
      <c r="C102" s="1" t="s">
        <v>227</v>
      </c>
      <c r="D102" s="1" t="s">
        <v>232</v>
      </c>
      <c r="E102" s="2" t="s">
        <v>124</v>
      </c>
      <c r="F102" s="2">
        <f t="shared" ca="1" si="3"/>
        <v>54</v>
      </c>
      <c r="G102" s="2" t="s">
        <v>127</v>
      </c>
      <c r="H102" s="2" t="s">
        <v>125</v>
      </c>
      <c r="I102" s="2" t="s">
        <v>62</v>
      </c>
      <c r="J102" s="2" t="s">
        <v>10</v>
      </c>
      <c r="K102" s="2" t="s">
        <v>10</v>
      </c>
      <c r="L102" s="2" t="s">
        <v>25</v>
      </c>
      <c r="M102" s="2" t="s">
        <v>35</v>
      </c>
      <c r="N102" s="2" t="s">
        <v>464</v>
      </c>
      <c r="O102" s="2" t="s">
        <v>465</v>
      </c>
    </row>
    <row r="103" spans="1:15" ht="15.75" hidden="1" customHeight="1" x14ac:dyDescent="0.35">
      <c r="A103">
        <v>102</v>
      </c>
      <c r="B103" s="2" t="s">
        <v>467</v>
      </c>
      <c r="C103" s="1" t="s">
        <v>177</v>
      </c>
      <c r="D103" s="1" t="s">
        <v>466</v>
      </c>
      <c r="E103" s="2" t="s">
        <v>124</v>
      </c>
      <c r="F103" s="2">
        <f t="shared" ca="1" si="3"/>
        <v>28</v>
      </c>
      <c r="G103" s="2" t="s">
        <v>127</v>
      </c>
      <c r="H103" s="2" t="s">
        <v>149</v>
      </c>
      <c r="I103" s="2" t="s">
        <v>16</v>
      </c>
      <c r="J103" s="2" t="s">
        <v>85</v>
      </c>
      <c r="K103" s="2" t="s">
        <v>18</v>
      </c>
      <c r="L103" s="2" t="s">
        <v>25</v>
      </c>
      <c r="M103" s="2" t="s">
        <v>26</v>
      </c>
      <c r="N103" s="2" t="s">
        <v>468</v>
      </c>
      <c r="O103" s="2" t="s">
        <v>469</v>
      </c>
    </row>
    <row r="104" spans="1:15" ht="15.75" hidden="1" customHeight="1" x14ac:dyDescent="0.35">
      <c r="A104">
        <v>103</v>
      </c>
      <c r="B104" s="2" t="s">
        <v>472</v>
      </c>
      <c r="C104" s="1" t="s">
        <v>470</v>
      </c>
      <c r="D104" s="1" t="s">
        <v>471</v>
      </c>
      <c r="E104" s="2" t="s">
        <v>124</v>
      </c>
      <c r="F104" s="2">
        <f t="shared" ca="1" si="3"/>
        <v>38</v>
      </c>
      <c r="G104" s="2" t="s">
        <v>127</v>
      </c>
      <c r="H104" s="2" t="s">
        <v>125</v>
      </c>
      <c r="I104" s="2" t="s">
        <v>16</v>
      </c>
      <c r="J104" s="2" t="s">
        <v>34</v>
      </c>
      <c r="K104" s="2" t="s">
        <v>18</v>
      </c>
      <c r="L104" s="2" t="s">
        <v>25</v>
      </c>
      <c r="M104" s="2" t="s">
        <v>35</v>
      </c>
      <c r="N104" s="2" t="s">
        <v>473</v>
      </c>
      <c r="O104" s="2" t="s">
        <v>474</v>
      </c>
    </row>
    <row r="105" spans="1:15" ht="15.75" hidden="1" customHeight="1" x14ac:dyDescent="0.35">
      <c r="A105">
        <v>104</v>
      </c>
      <c r="B105" s="2" t="s">
        <v>476</v>
      </c>
      <c r="C105" s="1" t="s">
        <v>475</v>
      </c>
      <c r="D105" s="1" t="s">
        <v>701</v>
      </c>
      <c r="E105" s="2" t="s">
        <v>124</v>
      </c>
      <c r="F105" s="2">
        <f t="shared" ca="1" si="3"/>
        <v>67</v>
      </c>
      <c r="G105" s="2" t="s">
        <v>127</v>
      </c>
      <c r="H105" s="2" t="s">
        <v>125</v>
      </c>
      <c r="I105" s="2" t="s">
        <v>62</v>
      </c>
      <c r="J105" s="2" t="s">
        <v>85</v>
      </c>
      <c r="K105" s="2" t="s">
        <v>18</v>
      </c>
      <c r="L105" s="2" t="s">
        <v>19</v>
      </c>
      <c r="M105" s="2" t="s">
        <v>12</v>
      </c>
      <c r="N105" s="2" t="s">
        <v>477</v>
      </c>
      <c r="O105" s="2" t="s">
        <v>478</v>
      </c>
    </row>
    <row r="106" spans="1:15" ht="15.75" hidden="1" customHeight="1" x14ac:dyDescent="0.35">
      <c r="A106">
        <v>105</v>
      </c>
      <c r="B106" s="2" t="s">
        <v>480</v>
      </c>
      <c r="C106" s="1" t="s">
        <v>682</v>
      </c>
      <c r="D106" s="1" t="s">
        <v>479</v>
      </c>
      <c r="E106" s="2" t="s">
        <v>139</v>
      </c>
      <c r="F106" s="2">
        <f t="shared" ca="1" si="3"/>
        <v>29</v>
      </c>
      <c r="G106" s="2" t="s">
        <v>127</v>
      </c>
      <c r="H106" s="2" t="s">
        <v>125</v>
      </c>
      <c r="I106" s="2" t="s">
        <v>62</v>
      </c>
      <c r="J106" s="2" t="s">
        <v>24</v>
      </c>
      <c r="K106" s="2" t="s">
        <v>18</v>
      </c>
      <c r="L106" s="2" t="s">
        <v>19</v>
      </c>
      <c r="M106" s="2" t="s">
        <v>12</v>
      </c>
      <c r="N106" s="2" t="s">
        <v>481</v>
      </c>
      <c r="O106" s="2" t="s">
        <v>482</v>
      </c>
    </row>
    <row r="107" spans="1:15" ht="15.75" hidden="1" customHeight="1" x14ac:dyDescent="0.35">
      <c r="A107">
        <v>106</v>
      </c>
      <c r="B107" s="2" t="s">
        <v>485</v>
      </c>
      <c r="C107" s="1" t="s">
        <v>483</v>
      </c>
      <c r="D107" s="1" t="s">
        <v>484</v>
      </c>
      <c r="E107" s="2" t="s">
        <v>124</v>
      </c>
      <c r="F107" s="2">
        <f t="shared" ca="1" si="3"/>
        <v>41</v>
      </c>
      <c r="G107" s="2" t="s">
        <v>127</v>
      </c>
      <c r="H107" s="2" t="s">
        <v>125</v>
      </c>
      <c r="I107" s="2" t="s">
        <v>185</v>
      </c>
      <c r="J107" s="2" t="s">
        <v>34</v>
      </c>
      <c r="K107" s="2" t="s">
        <v>18</v>
      </c>
      <c r="L107" s="2" t="s">
        <v>25</v>
      </c>
      <c r="M107" s="2" t="s">
        <v>35</v>
      </c>
      <c r="N107" s="2" t="s">
        <v>486</v>
      </c>
      <c r="O107" s="2" t="s">
        <v>487</v>
      </c>
    </row>
    <row r="108" spans="1:15" ht="15.75" hidden="1" customHeight="1" x14ac:dyDescent="0.35">
      <c r="A108">
        <v>107</v>
      </c>
      <c r="B108" s="2" t="s">
        <v>489</v>
      </c>
      <c r="C108" s="1" t="s">
        <v>488</v>
      </c>
      <c r="D108" s="1" t="s">
        <v>214</v>
      </c>
      <c r="E108" s="2" t="s">
        <v>124</v>
      </c>
      <c r="F108" s="2">
        <f t="shared" ca="1" si="3"/>
        <v>68</v>
      </c>
      <c r="G108" s="2" t="s">
        <v>127</v>
      </c>
      <c r="H108" s="2" t="s">
        <v>125</v>
      </c>
      <c r="I108" s="2" t="s">
        <v>62</v>
      </c>
      <c r="J108" s="2" t="s">
        <v>10</v>
      </c>
      <c r="K108" s="2" t="s">
        <v>10</v>
      </c>
      <c r="L108" s="2" t="s">
        <v>25</v>
      </c>
      <c r="M108" s="2" t="s">
        <v>35</v>
      </c>
      <c r="N108" s="2" t="s">
        <v>490</v>
      </c>
      <c r="O108" s="2" t="s">
        <v>491</v>
      </c>
    </row>
    <row r="109" spans="1:15" ht="15.75" hidden="1" customHeight="1" x14ac:dyDescent="0.35">
      <c r="A109">
        <v>108</v>
      </c>
      <c r="B109" s="2" t="s">
        <v>493</v>
      </c>
      <c r="C109" s="1" t="s">
        <v>492</v>
      </c>
      <c r="D109" s="1" t="s">
        <v>249</v>
      </c>
      <c r="E109" s="2" t="s">
        <v>124</v>
      </c>
      <c r="F109" s="2">
        <f t="shared" ca="1" si="3"/>
        <v>48</v>
      </c>
      <c r="G109" s="2" t="s">
        <v>127</v>
      </c>
      <c r="H109" s="2" t="s">
        <v>125</v>
      </c>
      <c r="I109" s="2" t="s">
        <v>62</v>
      </c>
      <c r="J109" s="2" t="s">
        <v>24</v>
      </c>
      <c r="K109" s="2" t="s">
        <v>18</v>
      </c>
      <c r="L109" s="2" t="s">
        <v>19</v>
      </c>
      <c r="M109" s="2" t="s">
        <v>12</v>
      </c>
      <c r="N109" s="2" t="s">
        <v>494</v>
      </c>
      <c r="O109" s="2" t="s">
        <v>495</v>
      </c>
    </row>
    <row r="110" spans="1:15" ht="15.75" hidden="1" customHeight="1" x14ac:dyDescent="0.35">
      <c r="A110">
        <v>109</v>
      </c>
      <c r="B110" s="2" t="s">
        <v>497</v>
      </c>
      <c r="C110" s="1" t="s">
        <v>496</v>
      </c>
      <c r="D110" s="1" t="s">
        <v>165</v>
      </c>
      <c r="E110" s="2" t="s">
        <v>124</v>
      </c>
      <c r="F110" s="2">
        <f t="shared" ca="1" si="3"/>
        <v>39</v>
      </c>
      <c r="G110" s="2" t="s">
        <v>127</v>
      </c>
      <c r="H110" s="2" t="s">
        <v>125</v>
      </c>
      <c r="I110" s="2" t="s">
        <v>62</v>
      </c>
      <c r="J110" s="2" t="s">
        <v>85</v>
      </c>
      <c r="K110" s="2" t="s">
        <v>18</v>
      </c>
      <c r="L110" s="2" t="s">
        <v>25</v>
      </c>
      <c r="M110" s="2" t="s">
        <v>35</v>
      </c>
      <c r="N110" s="2" t="s">
        <v>498</v>
      </c>
      <c r="O110" s="2" t="s">
        <v>499</v>
      </c>
    </row>
    <row r="111" spans="1:15" ht="15.75" hidden="1" customHeight="1" x14ac:dyDescent="0.35">
      <c r="A111">
        <v>110</v>
      </c>
      <c r="B111" s="2" t="s">
        <v>502</v>
      </c>
      <c r="C111" s="1" t="s">
        <v>500</v>
      </c>
      <c r="D111" s="1" t="s">
        <v>501</v>
      </c>
      <c r="E111" s="2" t="s">
        <v>124</v>
      </c>
      <c r="F111" s="2">
        <f t="shared" ca="1" si="3"/>
        <v>34</v>
      </c>
      <c r="G111" s="2" t="s">
        <v>127</v>
      </c>
      <c r="H111" s="2" t="s">
        <v>149</v>
      </c>
      <c r="I111" s="2" t="s">
        <v>62</v>
      </c>
      <c r="J111" s="2" t="s">
        <v>24</v>
      </c>
      <c r="K111" s="2" t="s">
        <v>18</v>
      </c>
      <c r="L111" s="2" t="s">
        <v>25</v>
      </c>
      <c r="M111" s="2" t="s">
        <v>35</v>
      </c>
      <c r="N111" s="2" t="s">
        <v>503</v>
      </c>
      <c r="O111" s="2" t="s">
        <v>504</v>
      </c>
    </row>
    <row r="112" spans="1:15" ht="15.75" hidden="1" customHeight="1" x14ac:dyDescent="0.35">
      <c r="A112">
        <v>111</v>
      </c>
      <c r="B112" s="2" t="s">
        <v>507</v>
      </c>
      <c r="C112" s="1" t="s">
        <v>505</v>
      </c>
      <c r="D112" s="1" t="s">
        <v>506</v>
      </c>
      <c r="E112" s="2" t="s">
        <v>124</v>
      </c>
      <c r="F112" s="2">
        <f t="shared" ca="1" si="3"/>
        <v>28</v>
      </c>
      <c r="G112" s="2" t="s">
        <v>127</v>
      </c>
      <c r="H112" s="2" t="s">
        <v>125</v>
      </c>
      <c r="I112" s="2" t="s">
        <v>62</v>
      </c>
      <c r="J112" s="2" t="s">
        <v>24</v>
      </c>
      <c r="K112" s="2" t="s">
        <v>18</v>
      </c>
      <c r="L112" s="2" t="s">
        <v>25</v>
      </c>
      <c r="M112" s="2" t="s">
        <v>35</v>
      </c>
      <c r="N112" s="2" t="s">
        <v>509</v>
      </c>
      <c r="O112" s="2" t="s">
        <v>510</v>
      </c>
    </row>
    <row r="113" spans="1:15" ht="15.75" hidden="1" customHeight="1" x14ac:dyDescent="0.35">
      <c r="A113">
        <v>112</v>
      </c>
      <c r="B113" s="2" t="s">
        <v>512</v>
      </c>
      <c r="C113" s="1" t="s">
        <v>511</v>
      </c>
      <c r="D113" s="1" t="s">
        <v>702</v>
      </c>
      <c r="E113" s="2" t="s">
        <v>124</v>
      </c>
      <c r="F113" s="2">
        <f t="shared" ca="1" si="3"/>
        <v>31</v>
      </c>
      <c r="G113" s="2" t="s">
        <v>127</v>
      </c>
      <c r="H113" s="2" t="s">
        <v>125</v>
      </c>
      <c r="I113" s="2" t="s">
        <v>62</v>
      </c>
      <c r="J113" s="2" t="s">
        <v>34</v>
      </c>
      <c r="K113" s="2" t="s">
        <v>18</v>
      </c>
      <c r="L113" s="2" t="s">
        <v>19</v>
      </c>
      <c r="M113" s="2" t="s">
        <v>12</v>
      </c>
      <c r="N113" s="2" t="s">
        <v>513</v>
      </c>
      <c r="O113" s="2" t="s">
        <v>514</v>
      </c>
    </row>
    <row r="114" spans="1:15" ht="15.75" hidden="1" customHeight="1" x14ac:dyDescent="0.35">
      <c r="A114">
        <v>113</v>
      </c>
      <c r="B114" s="2" t="s">
        <v>517</v>
      </c>
      <c r="C114" s="1" t="s">
        <v>515</v>
      </c>
      <c r="D114" s="1" t="s">
        <v>516</v>
      </c>
      <c r="E114" s="2" t="s">
        <v>124</v>
      </c>
      <c r="F114" s="2">
        <f t="shared" ca="1" si="3"/>
        <v>54</v>
      </c>
      <c r="G114" s="2" t="s">
        <v>127</v>
      </c>
      <c r="H114" s="2" t="s">
        <v>125</v>
      </c>
      <c r="I114" s="2" t="s">
        <v>185</v>
      </c>
      <c r="J114" s="2" t="s">
        <v>34</v>
      </c>
      <c r="K114" s="2" t="s">
        <v>18</v>
      </c>
      <c r="L114" s="2" t="s">
        <v>19</v>
      </c>
      <c r="M114" s="2" t="s">
        <v>35</v>
      </c>
      <c r="N114" s="2" t="s">
        <v>518</v>
      </c>
      <c r="O114" s="2" t="s">
        <v>519</v>
      </c>
    </row>
    <row r="115" spans="1:15" ht="15.75" hidden="1" customHeight="1" x14ac:dyDescent="0.35">
      <c r="A115">
        <v>114</v>
      </c>
      <c r="B115" s="2" t="s">
        <v>522</v>
      </c>
      <c r="C115" s="1" t="s">
        <v>520</v>
      </c>
      <c r="D115" s="1" t="s">
        <v>521</v>
      </c>
      <c r="E115" s="2" t="s">
        <v>139</v>
      </c>
      <c r="F115" s="2">
        <f t="shared" ca="1" si="3"/>
        <v>41</v>
      </c>
      <c r="G115" s="2" t="s">
        <v>127</v>
      </c>
      <c r="H115" s="2" t="s">
        <v>125</v>
      </c>
      <c r="I115" s="2" t="s">
        <v>62</v>
      </c>
      <c r="J115" s="2" t="s">
        <v>85</v>
      </c>
      <c r="K115" s="2" t="s">
        <v>18</v>
      </c>
      <c r="L115" s="2" t="s">
        <v>25</v>
      </c>
      <c r="M115" s="2" t="s">
        <v>35</v>
      </c>
      <c r="N115" s="2" t="s">
        <v>523</v>
      </c>
      <c r="O115" s="2" t="s">
        <v>524</v>
      </c>
    </row>
    <row r="116" spans="1:15" ht="15.75" hidden="1" customHeight="1" x14ac:dyDescent="0.35">
      <c r="A116">
        <v>115</v>
      </c>
      <c r="B116" s="2" t="s">
        <v>527</v>
      </c>
      <c r="C116" s="1" t="s">
        <v>525</v>
      </c>
      <c r="D116" s="1" t="s">
        <v>526</v>
      </c>
      <c r="E116" s="2" t="s">
        <v>124</v>
      </c>
      <c r="F116" s="2">
        <f t="shared" ca="1" si="3"/>
        <v>30</v>
      </c>
      <c r="G116" s="2" t="s">
        <v>127</v>
      </c>
      <c r="H116" s="2" t="s">
        <v>149</v>
      </c>
      <c r="I116" s="2" t="s">
        <v>62</v>
      </c>
      <c r="J116" s="2" t="s">
        <v>24</v>
      </c>
      <c r="K116" s="2" t="s">
        <v>18</v>
      </c>
      <c r="L116" s="2" t="s">
        <v>25</v>
      </c>
      <c r="M116" s="2" t="s">
        <v>35</v>
      </c>
      <c r="N116" s="2" t="s">
        <v>528</v>
      </c>
      <c r="O116" s="2" t="s">
        <v>529</v>
      </c>
    </row>
    <row r="117" spans="1:15" ht="15.75" hidden="1" customHeight="1" x14ac:dyDescent="0.35">
      <c r="A117">
        <v>116</v>
      </c>
      <c r="B117" s="2" t="s">
        <v>532</v>
      </c>
      <c r="C117" s="1" t="s">
        <v>530</v>
      </c>
      <c r="D117" s="1" t="s">
        <v>531</v>
      </c>
      <c r="E117" s="2" t="s">
        <v>124</v>
      </c>
      <c r="F117" s="2">
        <f t="shared" ca="1" si="3"/>
        <v>59</v>
      </c>
      <c r="G117" s="2" t="s">
        <v>127</v>
      </c>
      <c r="H117" s="2" t="s">
        <v>125</v>
      </c>
      <c r="I117" s="2" t="s">
        <v>185</v>
      </c>
      <c r="J117" s="2" t="s">
        <v>34</v>
      </c>
      <c r="K117" s="2" t="s">
        <v>18</v>
      </c>
      <c r="L117" s="2" t="s">
        <v>19</v>
      </c>
      <c r="M117" s="2" t="s">
        <v>35</v>
      </c>
      <c r="N117" s="2" t="s">
        <v>533</v>
      </c>
      <c r="O117" s="2" t="s">
        <v>77</v>
      </c>
    </row>
    <row r="118" spans="1:15" ht="15.75" hidden="1" customHeight="1" x14ac:dyDescent="0.35">
      <c r="A118">
        <v>117</v>
      </c>
      <c r="B118" s="2" t="s">
        <v>536</v>
      </c>
      <c r="C118" s="1" t="s">
        <v>534</v>
      </c>
      <c r="D118" s="1" t="s">
        <v>535</v>
      </c>
      <c r="E118" s="2" t="s">
        <v>124</v>
      </c>
      <c r="F118" s="2">
        <f t="shared" ca="1" si="3"/>
        <v>37</v>
      </c>
      <c r="G118" s="2" t="s">
        <v>127</v>
      </c>
      <c r="H118" s="2" t="s">
        <v>125</v>
      </c>
      <c r="I118" s="2" t="s">
        <v>62</v>
      </c>
      <c r="J118" s="2" t="s">
        <v>24</v>
      </c>
      <c r="K118" s="2" t="s">
        <v>18</v>
      </c>
      <c r="L118" s="2" t="s">
        <v>25</v>
      </c>
      <c r="M118" s="2" t="s">
        <v>35</v>
      </c>
      <c r="N118" s="2" t="s">
        <v>537</v>
      </c>
      <c r="O118" s="2" t="s">
        <v>538</v>
      </c>
    </row>
    <row r="119" spans="1:15" ht="15.75" hidden="1" customHeight="1" x14ac:dyDescent="0.35">
      <c r="A119">
        <v>118</v>
      </c>
      <c r="B119" s="2" t="s">
        <v>541</v>
      </c>
      <c r="C119" s="1" t="s">
        <v>539</v>
      </c>
      <c r="D119" s="1" t="s">
        <v>540</v>
      </c>
      <c r="E119" s="2" t="s">
        <v>124</v>
      </c>
      <c r="F119" s="2">
        <f t="shared" ca="1" si="3"/>
        <v>48</v>
      </c>
      <c r="G119" s="2" t="s">
        <v>127</v>
      </c>
      <c r="H119" s="2" t="s">
        <v>125</v>
      </c>
      <c r="I119" s="2" t="s">
        <v>62</v>
      </c>
      <c r="J119" s="2" t="s">
        <v>34</v>
      </c>
      <c r="K119" s="2" t="s">
        <v>18</v>
      </c>
      <c r="L119" s="2" t="s">
        <v>19</v>
      </c>
      <c r="M119" s="2" t="s">
        <v>12</v>
      </c>
      <c r="N119" s="2" t="s">
        <v>542</v>
      </c>
      <c r="O119" s="2" t="s">
        <v>543</v>
      </c>
    </row>
    <row r="120" spans="1:15" ht="15.75" hidden="1" customHeight="1" x14ac:dyDescent="0.35">
      <c r="A120">
        <v>119</v>
      </c>
      <c r="B120" s="2" t="s">
        <v>546</v>
      </c>
      <c r="C120" s="1" t="s">
        <v>544</v>
      </c>
      <c r="D120" s="1" t="s">
        <v>545</v>
      </c>
      <c r="E120" s="2" t="s">
        <v>124</v>
      </c>
      <c r="F120" s="2">
        <f t="shared" ca="1" si="3"/>
        <v>59</v>
      </c>
      <c r="G120" s="2" t="s">
        <v>127</v>
      </c>
      <c r="H120" s="2" t="s">
        <v>125</v>
      </c>
      <c r="I120" s="2" t="s">
        <v>62</v>
      </c>
      <c r="J120" s="2" t="s">
        <v>24</v>
      </c>
      <c r="K120" s="2" t="s">
        <v>18</v>
      </c>
      <c r="L120" s="2" t="s">
        <v>19</v>
      </c>
      <c r="M120" s="2" t="s">
        <v>12</v>
      </c>
      <c r="N120" s="2" t="s">
        <v>547</v>
      </c>
      <c r="O120" s="2" t="s">
        <v>548</v>
      </c>
    </row>
    <row r="121" spans="1:15" ht="15.75" hidden="1" customHeight="1" x14ac:dyDescent="0.35">
      <c r="A121">
        <v>120</v>
      </c>
      <c r="B121" s="2" t="s">
        <v>551</v>
      </c>
      <c r="C121" s="1" t="s">
        <v>549</v>
      </c>
      <c r="D121" s="1" t="s">
        <v>550</v>
      </c>
      <c r="E121" s="2" t="s">
        <v>124</v>
      </c>
      <c r="F121" s="2">
        <f t="shared" ca="1" si="3"/>
        <v>64</v>
      </c>
      <c r="G121" s="2" t="s">
        <v>127</v>
      </c>
      <c r="H121" s="2" t="s">
        <v>125</v>
      </c>
      <c r="I121" s="2" t="s">
        <v>62</v>
      </c>
      <c r="J121" s="2" t="s">
        <v>24</v>
      </c>
      <c r="K121" s="2" t="s">
        <v>18</v>
      </c>
      <c r="L121" s="2" t="s">
        <v>25</v>
      </c>
      <c r="M121" s="2" t="s">
        <v>35</v>
      </c>
      <c r="N121" s="2" t="s">
        <v>552</v>
      </c>
      <c r="O121" s="2" t="s">
        <v>553</v>
      </c>
    </row>
    <row r="122" spans="1:15" ht="15.75" hidden="1" customHeight="1" x14ac:dyDescent="0.35">
      <c r="A122">
        <v>121</v>
      </c>
      <c r="B122" s="2" t="s">
        <v>555</v>
      </c>
      <c r="C122" s="1" t="s">
        <v>272</v>
      </c>
      <c r="D122" s="1" t="s">
        <v>554</v>
      </c>
      <c r="E122" s="2" t="s">
        <v>124</v>
      </c>
      <c r="F122" s="2">
        <f t="shared" ca="1" si="3"/>
        <v>28</v>
      </c>
      <c r="G122" s="2" t="s">
        <v>127</v>
      </c>
      <c r="H122" s="2" t="s">
        <v>125</v>
      </c>
      <c r="I122" s="2" t="s">
        <v>62</v>
      </c>
      <c r="J122" s="2" t="s">
        <v>34</v>
      </c>
      <c r="K122" s="2" t="s">
        <v>18</v>
      </c>
      <c r="L122" s="2" t="s">
        <v>25</v>
      </c>
      <c r="M122" s="2" t="s">
        <v>35</v>
      </c>
      <c r="N122" s="2" t="s">
        <v>556</v>
      </c>
      <c r="O122" s="2" t="s">
        <v>557</v>
      </c>
    </row>
    <row r="123" spans="1:15" ht="15.75" hidden="1" customHeight="1" x14ac:dyDescent="0.35">
      <c r="A123">
        <v>122</v>
      </c>
      <c r="B123" s="2" t="s">
        <v>558</v>
      </c>
      <c r="C123" s="1" t="s">
        <v>683</v>
      </c>
      <c r="D123" s="1" t="s">
        <v>286</v>
      </c>
      <c r="E123" s="2" t="s">
        <v>124</v>
      </c>
      <c r="F123" s="2">
        <f t="shared" ca="1" si="3"/>
        <v>59</v>
      </c>
      <c r="G123" s="2" t="s">
        <v>127</v>
      </c>
      <c r="H123" s="2" t="s">
        <v>125</v>
      </c>
      <c r="I123" s="2" t="s">
        <v>185</v>
      </c>
      <c r="J123" s="2" t="s">
        <v>34</v>
      </c>
      <c r="K123" s="2" t="s">
        <v>18</v>
      </c>
      <c r="L123" s="2" t="s">
        <v>19</v>
      </c>
      <c r="M123" s="2" t="s">
        <v>12</v>
      </c>
      <c r="N123" s="2" t="s">
        <v>559</v>
      </c>
      <c r="O123" s="2" t="s">
        <v>560</v>
      </c>
    </row>
    <row r="124" spans="1:15" ht="15.75" hidden="1" customHeight="1" x14ac:dyDescent="0.35">
      <c r="A124">
        <v>123</v>
      </c>
      <c r="B124" s="2" t="s">
        <v>563</v>
      </c>
      <c r="C124" s="1" t="s">
        <v>561</v>
      </c>
      <c r="D124" s="1" t="s">
        <v>562</v>
      </c>
      <c r="E124" s="2" t="s">
        <v>124</v>
      </c>
      <c r="F124" s="2">
        <f t="shared" ca="1" si="3"/>
        <v>49</v>
      </c>
      <c r="G124" s="2" t="s">
        <v>127</v>
      </c>
      <c r="H124" s="2" t="s">
        <v>149</v>
      </c>
      <c r="I124" s="2" t="s">
        <v>62</v>
      </c>
      <c r="J124" s="2" t="s">
        <v>34</v>
      </c>
      <c r="K124" s="2" t="s">
        <v>18</v>
      </c>
      <c r="L124" s="2" t="s">
        <v>19</v>
      </c>
      <c r="M124" s="2" t="s">
        <v>12</v>
      </c>
      <c r="N124" s="2" t="s">
        <v>564</v>
      </c>
      <c r="O124" s="2" t="s">
        <v>565</v>
      </c>
    </row>
    <row r="125" spans="1:15" ht="15.75" hidden="1" customHeight="1" x14ac:dyDescent="0.35">
      <c r="A125">
        <v>124</v>
      </c>
      <c r="B125" s="2" t="s">
        <v>566</v>
      </c>
      <c r="C125" s="1" t="s">
        <v>684</v>
      </c>
      <c r="D125" s="1" t="s">
        <v>703</v>
      </c>
      <c r="E125" s="2" t="s">
        <v>124</v>
      </c>
      <c r="F125" s="2">
        <f t="shared" ca="1" si="3"/>
        <v>68</v>
      </c>
      <c r="G125" s="2" t="s">
        <v>127</v>
      </c>
      <c r="H125" s="2" t="s">
        <v>149</v>
      </c>
      <c r="I125" s="2" t="s">
        <v>62</v>
      </c>
      <c r="J125" s="2" t="s">
        <v>24</v>
      </c>
      <c r="K125" s="2" t="s">
        <v>18</v>
      </c>
      <c r="L125" s="2" t="s">
        <v>25</v>
      </c>
      <c r="M125" s="2" t="s">
        <v>35</v>
      </c>
      <c r="N125" s="2" t="s">
        <v>567</v>
      </c>
      <c r="O125" s="2" t="s">
        <v>568</v>
      </c>
    </row>
    <row r="126" spans="1:15" ht="15.75" hidden="1" customHeight="1" x14ac:dyDescent="0.35">
      <c r="A126">
        <v>125</v>
      </c>
      <c r="B126" s="2" t="s">
        <v>569</v>
      </c>
      <c r="C126" s="1" t="s">
        <v>399</v>
      </c>
      <c r="D126" s="1" t="s">
        <v>172</v>
      </c>
      <c r="E126" s="2" t="s">
        <v>139</v>
      </c>
      <c r="F126" s="2">
        <f t="shared" ca="1" si="3"/>
        <v>57</v>
      </c>
      <c r="G126" s="2" t="s">
        <v>127</v>
      </c>
      <c r="H126" s="2" t="s">
        <v>149</v>
      </c>
      <c r="I126" s="2" t="s">
        <v>62</v>
      </c>
      <c r="J126" s="2" t="s">
        <v>24</v>
      </c>
      <c r="K126" s="2" t="s">
        <v>18</v>
      </c>
      <c r="L126" s="2" t="s">
        <v>25</v>
      </c>
      <c r="M126" s="2" t="s">
        <v>35</v>
      </c>
      <c r="N126" s="2" t="s">
        <v>570</v>
      </c>
      <c r="O126" s="2" t="s">
        <v>571</v>
      </c>
    </row>
    <row r="127" spans="1:15" ht="15.75" hidden="1" customHeight="1" x14ac:dyDescent="0.35">
      <c r="A127">
        <v>126</v>
      </c>
      <c r="B127" s="2" t="s">
        <v>574</v>
      </c>
      <c r="C127" s="1" t="s">
        <v>572</v>
      </c>
      <c r="D127" s="1" t="s">
        <v>573</v>
      </c>
      <c r="E127" s="2" t="s">
        <v>124</v>
      </c>
      <c r="F127" s="2">
        <f t="shared" ca="1" si="3"/>
        <v>45</v>
      </c>
      <c r="G127" s="2" t="s">
        <v>127</v>
      </c>
      <c r="H127" s="2" t="s">
        <v>149</v>
      </c>
      <c r="I127" s="2" t="s">
        <v>185</v>
      </c>
      <c r="J127" s="2" t="s">
        <v>34</v>
      </c>
      <c r="K127" s="2" t="s">
        <v>18</v>
      </c>
      <c r="L127" s="2" t="s">
        <v>19</v>
      </c>
      <c r="M127" s="2" t="s">
        <v>12</v>
      </c>
      <c r="N127" s="2" t="s">
        <v>575</v>
      </c>
      <c r="O127" s="2" t="s">
        <v>576</v>
      </c>
    </row>
    <row r="128" spans="1:15" ht="15.75" hidden="1" customHeight="1" x14ac:dyDescent="0.35">
      <c r="A128">
        <v>127</v>
      </c>
      <c r="B128" s="2" t="s">
        <v>579</v>
      </c>
      <c r="C128" s="1" t="s">
        <v>577</v>
      </c>
      <c r="D128" s="1" t="s">
        <v>227</v>
      </c>
      <c r="E128" s="2" t="s">
        <v>139</v>
      </c>
      <c r="F128" s="2">
        <f t="shared" ca="1" si="3"/>
        <v>60</v>
      </c>
      <c r="G128" s="2" t="s">
        <v>127</v>
      </c>
      <c r="H128" s="2" t="s">
        <v>149</v>
      </c>
      <c r="I128" s="2" t="s">
        <v>62</v>
      </c>
      <c r="J128" s="2" t="s">
        <v>24</v>
      </c>
      <c r="K128" s="2" t="s">
        <v>18</v>
      </c>
      <c r="L128" s="2" t="s">
        <v>25</v>
      </c>
      <c r="M128" s="2" t="s">
        <v>35</v>
      </c>
      <c r="N128" s="2" t="s">
        <v>580</v>
      </c>
      <c r="O128" s="2" t="s">
        <v>581</v>
      </c>
    </row>
    <row r="129" spans="1:15" ht="15.75" hidden="1" customHeight="1" x14ac:dyDescent="0.35">
      <c r="A129">
        <v>128</v>
      </c>
      <c r="B129" s="2" t="s">
        <v>583</v>
      </c>
      <c r="C129" s="1" t="s">
        <v>122</v>
      </c>
      <c r="D129" s="1" t="s">
        <v>582</v>
      </c>
      <c r="E129" s="2" t="s">
        <v>139</v>
      </c>
      <c r="F129" s="2">
        <f t="shared" ca="1" si="3"/>
        <v>31</v>
      </c>
      <c r="G129" s="2" t="s">
        <v>127</v>
      </c>
      <c r="H129" s="2" t="s">
        <v>149</v>
      </c>
      <c r="I129" s="2" t="s">
        <v>62</v>
      </c>
      <c r="J129" s="2" t="s">
        <v>24</v>
      </c>
      <c r="K129" s="2" t="s">
        <v>18</v>
      </c>
      <c r="L129" s="2" t="s">
        <v>19</v>
      </c>
      <c r="M129" s="2" t="s">
        <v>12</v>
      </c>
      <c r="N129" s="2" t="s">
        <v>584</v>
      </c>
      <c r="O129" s="2" t="s">
        <v>585</v>
      </c>
    </row>
    <row r="130" spans="1:15" ht="15.75" hidden="1" customHeight="1" x14ac:dyDescent="0.35">
      <c r="A130">
        <v>129</v>
      </c>
      <c r="B130" s="2" t="s">
        <v>586</v>
      </c>
      <c r="C130" s="1" t="s">
        <v>582</v>
      </c>
      <c r="D130" s="1" t="s">
        <v>698</v>
      </c>
      <c r="E130" s="2" t="s">
        <v>139</v>
      </c>
      <c r="F130" s="2">
        <f t="shared" ref="F130:F152" ca="1" si="4">RANDBETWEEN(25, 69)</f>
        <v>53</v>
      </c>
      <c r="G130" s="2" t="s">
        <v>127</v>
      </c>
      <c r="H130" s="2" t="s">
        <v>149</v>
      </c>
      <c r="I130" s="2" t="s">
        <v>185</v>
      </c>
      <c r="J130" s="2" t="s">
        <v>34</v>
      </c>
      <c r="K130" s="2" t="s">
        <v>18</v>
      </c>
      <c r="L130" s="2" t="s">
        <v>19</v>
      </c>
      <c r="M130" s="2" t="s">
        <v>12</v>
      </c>
      <c r="N130" s="2" t="s">
        <v>587</v>
      </c>
      <c r="O130" s="2" t="s">
        <v>588</v>
      </c>
    </row>
    <row r="131" spans="1:15" ht="15.75" hidden="1" customHeight="1" x14ac:dyDescent="0.35">
      <c r="A131">
        <v>130</v>
      </c>
      <c r="B131" s="2" t="s">
        <v>590</v>
      </c>
      <c r="C131" s="1" t="s">
        <v>589</v>
      </c>
      <c r="D131" s="1" t="s">
        <v>227</v>
      </c>
      <c r="E131" s="2" t="s">
        <v>139</v>
      </c>
      <c r="F131" s="2">
        <f t="shared" ca="1" si="4"/>
        <v>65</v>
      </c>
      <c r="G131" s="2" t="s">
        <v>127</v>
      </c>
      <c r="H131" s="2" t="s">
        <v>149</v>
      </c>
      <c r="I131" s="2" t="s">
        <v>62</v>
      </c>
      <c r="J131" s="2" t="s">
        <v>34</v>
      </c>
      <c r="K131" s="2" t="s">
        <v>18</v>
      </c>
      <c r="L131" s="2" t="s">
        <v>25</v>
      </c>
      <c r="M131" s="2" t="s">
        <v>35</v>
      </c>
      <c r="N131" s="2" t="s">
        <v>591</v>
      </c>
      <c r="O131" s="2" t="s">
        <v>592</v>
      </c>
    </row>
    <row r="132" spans="1:15" ht="15.75" hidden="1" customHeight="1" x14ac:dyDescent="0.35">
      <c r="A132">
        <v>131</v>
      </c>
      <c r="B132" s="2" t="s">
        <v>593</v>
      </c>
      <c r="C132" s="1" t="s">
        <v>578</v>
      </c>
      <c r="D132" s="1" t="s">
        <v>704</v>
      </c>
      <c r="E132" s="2" t="s">
        <v>124</v>
      </c>
      <c r="F132" s="2">
        <f t="shared" ca="1" si="4"/>
        <v>44</v>
      </c>
      <c r="G132" s="2" t="s">
        <v>127</v>
      </c>
      <c r="H132" s="2" t="s">
        <v>125</v>
      </c>
      <c r="I132" s="2" t="s">
        <v>62</v>
      </c>
      <c r="J132" s="2" t="s">
        <v>24</v>
      </c>
      <c r="K132" s="2" t="s">
        <v>18</v>
      </c>
      <c r="L132" s="2" t="s">
        <v>25</v>
      </c>
      <c r="M132" s="2" t="s">
        <v>35</v>
      </c>
      <c r="N132" s="2" t="s">
        <v>594</v>
      </c>
      <c r="O132" s="2" t="s">
        <v>595</v>
      </c>
    </row>
    <row r="133" spans="1:15" ht="15.75" hidden="1" customHeight="1" x14ac:dyDescent="0.35">
      <c r="A133">
        <v>132</v>
      </c>
      <c r="B133" s="2" t="s">
        <v>597</v>
      </c>
      <c r="C133" s="1" t="s">
        <v>596</v>
      </c>
      <c r="D133" s="1" t="s">
        <v>232</v>
      </c>
      <c r="E133" s="2" t="s">
        <v>124</v>
      </c>
      <c r="F133" s="2">
        <f t="shared" ca="1" si="4"/>
        <v>40</v>
      </c>
      <c r="G133" s="2" t="s">
        <v>127</v>
      </c>
      <c r="H133" s="2" t="s">
        <v>125</v>
      </c>
      <c r="I133" s="2" t="s">
        <v>62</v>
      </c>
      <c r="J133" s="2" t="s">
        <v>34</v>
      </c>
      <c r="K133" s="2" t="s">
        <v>18</v>
      </c>
      <c r="L133" s="2" t="s">
        <v>19</v>
      </c>
      <c r="M133" s="2" t="s">
        <v>12</v>
      </c>
      <c r="N133" s="2" t="s">
        <v>598</v>
      </c>
      <c r="O133" s="2" t="s">
        <v>599</v>
      </c>
    </row>
    <row r="134" spans="1:15" ht="15.75" hidden="1" customHeight="1" x14ac:dyDescent="0.35">
      <c r="A134">
        <v>133</v>
      </c>
      <c r="B134" s="2" t="s">
        <v>601</v>
      </c>
      <c r="C134" s="1" t="s">
        <v>596</v>
      </c>
      <c r="D134" s="1" t="s">
        <v>600</v>
      </c>
      <c r="E134" s="2" t="s">
        <v>139</v>
      </c>
      <c r="F134" s="2">
        <f t="shared" ca="1" si="4"/>
        <v>43</v>
      </c>
      <c r="G134" s="2" t="s">
        <v>132</v>
      </c>
      <c r="H134" s="2" t="s">
        <v>125</v>
      </c>
      <c r="I134" s="2" t="s">
        <v>62</v>
      </c>
      <c r="J134" s="2" t="s">
        <v>24</v>
      </c>
      <c r="K134" s="2" t="s">
        <v>18</v>
      </c>
      <c r="L134" s="2" t="s">
        <v>25</v>
      </c>
      <c r="M134" s="2" t="s">
        <v>35</v>
      </c>
      <c r="N134" s="2" t="s">
        <v>602</v>
      </c>
      <c r="O134" s="2" t="s">
        <v>603</v>
      </c>
    </row>
    <row r="135" spans="1:15" ht="15.75" hidden="1" customHeight="1" x14ac:dyDescent="0.35">
      <c r="A135">
        <v>134</v>
      </c>
      <c r="B135" s="2" t="s">
        <v>605</v>
      </c>
      <c r="C135" s="1" t="s">
        <v>604</v>
      </c>
      <c r="D135" s="1" t="s">
        <v>705</v>
      </c>
      <c r="E135" s="2" t="s">
        <v>124</v>
      </c>
      <c r="F135" s="2">
        <f t="shared" ca="1" si="4"/>
        <v>46</v>
      </c>
      <c r="G135" s="2" t="s">
        <v>127</v>
      </c>
      <c r="H135" s="2" t="s">
        <v>149</v>
      </c>
      <c r="I135" s="2" t="s">
        <v>51</v>
      </c>
      <c r="J135" s="2" t="s">
        <v>10</v>
      </c>
      <c r="K135" s="2" t="s">
        <v>10</v>
      </c>
      <c r="L135" s="2" t="s">
        <v>11</v>
      </c>
      <c r="M135" s="2" t="s">
        <v>35</v>
      </c>
      <c r="N135" s="2" t="s">
        <v>606</v>
      </c>
      <c r="O135" s="2" t="s">
        <v>607</v>
      </c>
    </row>
    <row r="136" spans="1:15" ht="15.75" hidden="1" customHeight="1" x14ac:dyDescent="0.35">
      <c r="A136">
        <v>135</v>
      </c>
      <c r="B136" s="2" t="s">
        <v>609</v>
      </c>
      <c r="C136" s="1" t="s">
        <v>172</v>
      </c>
      <c r="D136" s="1" t="s">
        <v>608</v>
      </c>
      <c r="E136" s="2" t="s">
        <v>124</v>
      </c>
      <c r="F136" s="2">
        <f t="shared" ca="1" si="4"/>
        <v>29</v>
      </c>
      <c r="G136" s="2" t="s">
        <v>127</v>
      </c>
      <c r="H136" s="2" t="s">
        <v>125</v>
      </c>
      <c r="I136" s="2" t="s">
        <v>62</v>
      </c>
      <c r="J136" s="2" t="s">
        <v>34</v>
      </c>
      <c r="K136" s="2" t="s">
        <v>18</v>
      </c>
      <c r="L136" s="2" t="s">
        <v>25</v>
      </c>
      <c r="M136" s="2" t="s">
        <v>35</v>
      </c>
      <c r="N136" s="2" t="s">
        <v>610</v>
      </c>
      <c r="O136" s="2" t="s">
        <v>611</v>
      </c>
    </row>
    <row r="137" spans="1:15" ht="15.75" hidden="1" customHeight="1" x14ac:dyDescent="0.35">
      <c r="A137">
        <v>136</v>
      </c>
      <c r="B137" s="2" t="s">
        <v>613</v>
      </c>
      <c r="C137" s="1" t="s">
        <v>612</v>
      </c>
      <c r="D137" s="1" t="s">
        <v>706</v>
      </c>
      <c r="E137" s="2" t="s">
        <v>124</v>
      </c>
      <c r="F137" s="2">
        <f t="shared" ca="1" si="4"/>
        <v>56</v>
      </c>
      <c r="G137" s="2" t="s">
        <v>127</v>
      </c>
      <c r="H137" s="2" t="s">
        <v>125</v>
      </c>
      <c r="I137" s="2" t="s">
        <v>62</v>
      </c>
      <c r="J137" s="2" t="s">
        <v>24</v>
      </c>
      <c r="K137" s="2" t="s">
        <v>18</v>
      </c>
      <c r="L137" s="2" t="s">
        <v>25</v>
      </c>
      <c r="M137" s="2" t="s">
        <v>35</v>
      </c>
      <c r="N137" s="2" t="s">
        <v>614</v>
      </c>
      <c r="O137" s="2" t="s">
        <v>615</v>
      </c>
    </row>
    <row r="138" spans="1:15" ht="15.75" hidden="1" customHeight="1" x14ac:dyDescent="0.35">
      <c r="A138">
        <v>137</v>
      </c>
      <c r="B138" s="2" t="s">
        <v>617</v>
      </c>
      <c r="C138" s="1" t="s">
        <v>616</v>
      </c>
      <c r="D138" s="1" t="s">
        <v>227</v>
      </c>
      <c r="E138" s="2" t="s">
        <v>124</v>
      </c>
      <c r="F138" s="2">
        <f t="shared" ca="1" si="4"/>
        <v>36</v>
      </c>
      <c r="G138" s="2" t="s">
        <v>127</v>
      </c>
      <c r="H138" s="2" t="s">
        <v>125</v>
      </c>
      <c r="I138" s="2" t="s">
        <v>62</v>
      </c>
      <c r="J138" s="2" t="s">
        <v>24</v>
      </c>
      <c r="K138" s="2" t="s">
        <v>18</v>
      </c>
      <c r="L138" s="2" t="s">
        <v>19</v>
      </c>
      <c r="M138" s="2" t="s">
        <v>12</v>
      </c>
      <c r="N138" s="2" t="s">
        <v>618</v>
      </c>
      <c r="O138" s="2" t="s">
        <v>619</v>
      </c>
    </row>
    <row r="139" spans="1:15" ht="15.75" hidden="1" customHeight="1" x14ac:dyDescent="0.35">
      <c r="A139">
        <v>138</v>
      </c>
      <c r="B139" s="2" t="s">
        <v>620</v>
      </c>
      <c r="C139" s="1" t="s">
        <v>573</v>
      </c>
      <c r="D139" s="1" t="s">
        <v>353</v>
      </c>
      <c r="E139" s="2" t="s">
        <v>124</v>
      </c>
      <c r="F139" s="2">
        <f t="shared" ca="1" si="4"/>
        <v>27</v>
      </c>
      <c r="G139" s="2" t="s">
        <v>127</v>
      </c>
      <c r="H139" s="2" t="s">
        <v>125</v>
      </c>
      <c r="I139" s="2" t="s">
        <v>62</v>
      </c>
      <c r="J139" s="2" t="s">
        <v>24</v>
      </c>
      <c r="K139" s="2" t="s">
        <v>18</v>
      </c>
      <c r="L139" s="2" t="s">
        <v>25</v>
      </c>
      <c r="M139" s="2" t="s">
        <v>35</v>
      </c>
      <c r="N139" s="2" t="s">
        <v>621</v>
      </c>
      <c r="O139" s="2" t="s">
        <v>622</v>
      </c>
    </row>
    <row r="140" spans="1:15" ht="15.75" hidden="1" customHeight="1" x14ac:dyDescent="0.35">
      <c r="A140">
        <v>139</v>
      </c>
      <c r="B140" s="2" t="s">
        <v>625</v>
      </c>
      <c r="C140" s="1" t="s">
        <v>623</v>
      </c>
      <c r="D140" s="1" t="s">
        <v>624</v>
      </c>
      <c r="E140" s="2" t="s">
        <v>124</v>
      </c>
      <c r="F140" s="2">
        <f t="shared" ca="1" si="4"/>
        <v>25</v>
      </c>
      <c r="G140" s="2" t="s">
        <v>127</v>
      </c>
      <c r="H140" s="2" t="s">
        <v>125</v>
      </c>
      <c r="I140" s="2" t="s">
        <v>62</v>
      </c>
      <c r="J140" s="2" t="s">
        <v>34</v>
      </c>
      <c r="K140" s="2" t="s">
        <v>18</v>
      </c>
      <c r="L140" s="2" t="s">
        <v>25</v>
      </c>
      <c r="M140" s="2" t="s">
        <v>35</v>
      </c>
      <c r="N140" s="2" t="s">
        <v>626</v>
      </c>
      <c r="O140" s="2" t="s">
        <v>627</v>
      </c>
    </row>
    <row r="141" spans="1:15" ht="15.75" hidden="1" customHeight="1" x14ac:dyDescent="0.35">
      <c r="A141">
        <v>140</v>
      </c>
      <c r="B141" s="2" t="s">
        <v>628</v>
      </c>
      <c r="C141" s="1" t="s">
        <v>136</v>
      </c>
      <c r="D141" s="1" t="s">
        <v>420</v>
      </c>
      <c r="E141" s="2" t="s">
        <v>124</v>
      </c>
      <c r="F141" s="2">
        <f t="shared" ca="1" si="4"/>
        <v>61</v>
      </c>
      <c r="G141" s="2" t="s">
        <v>127</v>
      </c>
      <c r="H141" s="2" t="s">
        <v>125</v>
      </c>
      <c r="I141" s="2" t="s">
        <v>62</v>
      </c>
      <c r="J141" s="2" t="s">
        <v>24</v>
      </c>
      <c r="K141" s="2" t="s">
        <v>18</v>
      </c>
      <c r="L141" s="2" t="s">
        <v>25</v>
      </c>
      <c r="M141" s="2" t="s">
        <v>35</v>
      </c>
      <c r="N141" s="2" t="s">
        <v>629</v>
      </c>
      <c r="O141" s="2" t="s">
        <v>630</v>
      </c>
    </row>
    <row r="142" spans="1:15" ht="15.75" hidden="1" customHeight="1" x14ac:dyDescent="0.35">
      <c r="A142">
        <v>141</v>
      </c>
      <c r="B142" s="2" t="s">
        <v>633</v>
      </c>
      <c r="C142" s="1" t="s">
        <v>631</v>
      </c>
      <c r="D142" s="1" t="s">
        <v>632</v>
      </c>
      <c r="E142" s="2" t="s">
        <v>124</v>
      </c>
      <c r="F142" s="2">
        <f t="shared" ca="1" si="4"/>
        <v>62</v>
      </c>
      <c r="G142" s="2" t="s">
        <v>127</v>
      </c>
      <c r="H142" s="2" t="s">
        <v>149</v>
      </c>
      <c r="I142" s="2" t="s">
        <v>62</v>
      </c>
      <c r="J142" s="2" t="s">
        <v>24</v>
      </c>
      <c r="K142" s="2" t="s">
        <v>18</v>
      </c>
      <c r="L142" s="2" t="s">
        <v>25</v>
      </c>
      <c r="M142" s="2" t="s">
        <v>35</v>
      </c>
      <c r="N142" s="2" t="s">
        <v>634</v>
      </c>
      <c r="O142" s="2" t="s">
        <v>635</v>
      </c>
    </row>
    <row r="143" spans="1:15" ht="15.75" hidden="1" customHeight="1" x14ac:dyDescent="0.35">
      <c r="A143">
        <v>142</v>
      </c>
      <c r="B143" s="2" t="s">
        <v>637</v>
      </c>
      <c r="C143" s="1" t="s">
        <v>679</v>
      </c>
      <c r="D143" s="1" t="s">
        <v>636</v>
      </c>
      <c r="E143" s="2" t="s">
        <v>139</v>
      </c>
      <c r="F143" s="2">
        <f t="shared" ca="1" si="4"/>
        <v>28</v>
      </c>
      <c r="G143" s="2" t="s">
        <v>127</v>
      </c>
      <c r="H143" s="2" t="s">
        <v>125</v>
      </c>
      <c r="I143" s="2" t="s">
        <v>62</v>
      </c>
      <c r="J143" s="2" t="s">
        <v>34</v>
      </c>
      <c r="K143" s="2" t="s">
        <v>18</v>
      </c>
      <c r="L143" s="2" t="s">
        <v>25</v>
      </c>
      <c r="M143" s="2" t="s">
        <v>35</v>
      </c>
      <c r="N143" s="2" t="s">
        <v>638</v>
      </c>
      <c r="O143" s="2" t="s">
        <v>639</v>
      </c>
    </row>
    <row r="144" spans="1:15" ht="15.75" hidden="1" customHeight="1" x14ac:dyDescent="0.35">
      <c r="A144">
        <v>143</v>
      </c>
      <c r="B144" s="2" t="s">
        <v>640</v>
      </c>
      <c r="C144" s="1" t="s">
        <v>685</v>
      </c>
      <c r="D144" s="1" t="s">
        <v>707</v>
      </c>
      <c r="E144" s="2" t="s">
        <v>139</v>
      </c>
      <c r="F144" s="2">
        <f t="shared" ca="1" si="4"/>
        <v>62</v>
      </c>
      <c r="G144" s="2" t="s">
        <v>127</v>
      </c>
      <c r="H144" s="2" t="s">
        <v>149</v>
      </c>
      <c r="I144" s="2" t="s">
        <v>51</v>
      </c>
      <c r="J144" s="2" t="s">
        <v>34</v>
      </c>
      <c r="K144" s="2" t="s">
        <v>18</v>
      </c>
      <c r="L144" s="2" t="s">
        <v>11</v>
      </c>
      <c r="M144" s="2" t="s">
        <v>35</v>
      </c>
      <c r="N144" s="2" t="s">
        <v>641</v>
      </c>
      <c r="O144" s="2" t="s">
        <v>642</v>
      </c>
    </row>
    <row r="145" spans="1:15" ht="15.75" hidden="1" customHeight="1" x14ac:dyDescent="0.35">
      <c r="A145">
        <v>144</v>
      </c>
      <c r="B145" s="2" t="s">
        <v>645</v>
      </c>
      <c r="C145" s="1" t="s">
        <v>643</v>
      </c>
      <c r="D145" s="1" t="s">
        <v>644</v>
      </c>
      <c r="E145" s="2" t="s">
        <v>124</v>
      </c>
      <c r="F145" s="2">
        <f t="shared" ca="1" si="4"/>
        <v>29</v>
      </c>
      <c r="G145" s="2" t="s">
        <v>127</v>
      </c>
      <c r="H145" s="2" t="s">
        <v>149</v>
      </c>
      <c r="I145" s="2" t="s">
        <v>62</v>
      </c>
      <c r="J145" s="2" t="s">
        <v>34</v>
      </c>
      <c r="K145" s="2" t="s">
        <v>18</v>
      </c>
      <c r="L145" s="2" t="s">
        <v>19</v>
      </c>
      <c r="M145" s="2" t="s">
        <v>12</v>
      </c>
      <c r="N145" s="2" t="s">
        <v>646</v>
      </c>
      <c r="O145" s="2" t="s">
        <v>647</v>
      </c>
    </row>
    <row r="146" spans="1:15" ht="15.75" hidden="1" customHeight="1" x14ac:dyDescent="0.35">
      <c r="A146">
        <v>145</v>
      </c>
      <c r="B146" s="2" t="s">
        <v>648</v>
      </c>
      <c r="C146" s="1" t="s">
        <v>172</v>
      </c>
      <c r="D146" s="1" t="s">
        <v>698</v>
      </c>
      <c r="E146" s="2" t="s">
        <v>139</v>
      </c>
      <c r="F146" s="2">
        <f t="shared" ca="1" si="4"/>
        <v>63</v>
      </c>
      <c r="G146" s="2" t="s">
        <v>127</v>
      </c>
      <c r="H146" s="2" t="s">
        <v>149</v>
      </c>
      <c r="I146" s="2" t="s">
        <v>62</v>
      </c>
      <c r="J146" s="2" t="s">
        <v>24</v>
      </c>
      <c r="K146" s="2" t="s">
        <v>18</v>
      </c>
      <c r="L146" s="2" t="s">
        <v>25</v>
      </c>
      <c r="M146" s="2" t="s">
        <v>35</v>
      </c>
      <c r="N146" s="2" t="s">
        <v>649</v>
      </c>
      <c r="O146" s="2" t="s">
        <v>650</v>
      </c>
    </row>
    <row r="147" spans="1:15" ht="15.75" hidden="1" customHeight="1" x14ac:dyDescent="0.35">
      <c r="A147">
        <v>146</v>
      </c>
      <c r="B147" s="2" t="s">
        <v>652</v>
      </c>
      <c r="C147" s="1" t="s">
        <v>651</v>
      </c>
      <c r="D147" s="1" t="s">
        <v>631</v>
      </c>
      <c r="E147" s="2" t="s">
        <v>139</v>
      </c>
      <c r="F147" s="2">
        <f t="shared" ca="1" si="4"/>
        <v>53</v>
      </c>
      <c r="G147" s="2" t="s">
        <v>127</v>
      </c>
      <c r="H147" s="2" t="s">
        <v>149</v>
      </c>
      <c r="I147" s="2" t="s">
        <v>62</v>
      </c>
      <c r="J147" s="2" t="s">
        <v>24</v>
      </c>
      <c r="K147" s="2" t="s">
        <v>18</v>
      </c>
      <c r="L147" s="2" t="s">
        <v>19</v>
      </c>
      <c r="M147" s="2" t="s">
        <v>12</v>
      </c>
      <c r="N147" s="2" t="s">
        <v>653</v>
      </c>
      <c r="O147" s="2" t="s">
        <v>654</v>
      </c>
    </row>
    <row r="148" spans="1:15" ht="15.75" customHeight="1" x14ac:dyDescent="0.35">
      <c r="A148">
        <v>147</v>
      </c>
      <c r="B148" s="2" t="s">
        <v>657</v>
      </c>
      <c r="C148" s="1" t="s">
        <v>655</v>
      </c>
      <c r="D148" s="1" t="s">
        <v>656</v>
      </c>
      <c r="E148" s="2" t="s">
        <v>139</v>
      </c>
      <c r="F148" s="2">
        <f t="shared" ca="1" si="4"/>
        <v>58</v>
      </c>
      <c r="G148" s="2" t="s">
        <v>132</v>
      </c>
      <c r="H148" s="2" t="s">
        <v>149</v>
      </c>
      <c r="I148" s="2" t="s">
        <v>62</v>
      </c>
      <c r="J148" s="2" t="s">
        <v>24</v>
      </c>
      <c r="K148" s="2" t="s">
        <v>18</v>
      </c>
      <c r="L148" s="2" t="s">
        <v>25</v>
      </c>
      <c r="M148" s="2" t="s">
        <v>35</v>
      </c>
      <c r="N148" s="2" t="s">
        <v>658</v>
      </c>
      <c r="O148" s="2" t="s">
        <v>659</v>
      </c>
    </row>
    <row r="149" spans="1:15" ht="15.75" hidden="1" customHeight="1" x14ac:dyDescent="0.35">
      <c r="A149">
        <v>148</v>
      </c>
      <c r="B149" s="2" t="s">
        <v>660</v>
      </c>
      <c r="C149" s="1" t="s">
        <v>243</v>
      </c>
      <c r="D149" s="1" t="s">
        <v>421</v>
      </c>
      <c r="E149" s="2" t="s">
        <v>139</v>
      </c>
      <c r="F149" s="2">
        <f t="shared" ca="1" si="4"/>
        <v>52</v>
      </c>
      <c r="G149" s="2" t="s">
        <v>127</v>
      </c>
      <c r="H149" s="2" t="s">
        <v>149</v>
      </c>
      <c r="I149" s="2" t="s">
        <v>62</v>
      </c>
      <c r="J149" s="2" t="s">
        <v>24</v>
      </c>
      <c r="K149" s="2" t="s">
        <v>18</v>
      </c>
      <c r="L149" s="2" t="s">
        <v>25</v>
      </c>
      <c r="M149" s="2" t="s">
        <v>35</v>
      </c>
      <c r="N149" s="2" t="s">
        <v>661</v>
      </c>
      <c r="O149" s="2" t="s">
        <v>662</v>
      </c>
    </row>
    <row r="150" spans="1:15" ht="15.75" hidden="1" customHeight="1" x14ac:dyDescent="0.35">
      <c r="A150">
        <v>149</v>
      </c>
      <c r="B150" s="2" t="s">
        <v>652</v>
      </c>
      <c r="C150" s="1" t="s">
        <v>651</v>
      </c>
      <c r="D150" s="1" t="s">
        <v>631</v>
      </c>
      <c r="E150" s="2" t="s">
        <v>124</v>
      </c>
      <c r="F150" s="2">
        <f t="shared" ca="1" si="4"/>
        <v>57</v>
      </c>
      <c r="G150" s="2" t="s">
        <v>127</v>
      </c>
      <c r="H150" s="2" t="s">
        <v>125</v>
      </c>
      <c r="I150" s="2" t="s">
        <v>62</v>
      </c>
      <c r="J150" s="2" t="s">
        <v>24</v>
      </c>
      <c r="K150" s="2" t="s">
        <v>18</v>
      </c>
      <c r="L150" s="2" t="s">
        <v>19</v>
      </c>
      <c r="M150" s="2" t="s">
        <v>12</v>
      </c>
      <c r="N150" s="2" t="s">
        <v>653</v>
      </c>
      <c r="O150" s="2" t="s">
        <v>654</v>
      </c>
    </row>
    <row r="151" spans="1:15" ht="15.75" customHeight="1" x14ac:dyDescent="0.35">
      <c r="A151">
        <v>150</v>
      </c>
      <c r="B151" s="2" t="s">
        <v>739</v>
      </c>
      <c r="C151" s="1" t="s">
        <v>655</v>
      </c>
      <c r="D151" s="1" t="s">
        <v>656</v>
      </c>
      <c r="E151" s="2" t="s">
        <v>124</v>
      </c>
      <c r="F151" s="2">
        <f t="shared" ca="1" si="4"/>
        <v>33</v>
      </c>
      <c r="G151" s="2" t="s">
        <v>127</v>
      </c>
      <c r="H151" s="2" t="s">
        <v>125</v>
      </c>
      <c r="I151" s="2" t="s">
        <v>62</v>
      </c>
      <c r="J151" s="2" t="s">
        <v>24</v>
      </c>
      <c r="K151" s="2" t="s">
        <v>18</v>
      </c>
      <c r="L151" s="2" t="s">
        <v>25</v>
      </c>
      <c r="M151" s="2" t="s">
        <v>35</v>
      </c>
      <c r="N151" s="2" t="s">
        <v>658</v>
      </c>
      <c r="O151" s="2" t="s">
        <v>659</v>
      </c>
    </row>
    <row r="152" spans="1:15" ht="15.75" hidden="1" customHeight="1" x14ac:dyDescent="0.35">
      <c r="A152">
        <v>151</v>
      </c>
      <c r="B152" s="2" t="s">
        <v>660</v>
      </c>
      <c r="C152" s="1" t="s">
        <v>243</v>
      </c>
      <c r="D152" s="1" t="s">
        <v>421</v>
      </c>
      <c r="E152" s="2" t="s">
        <v>124</v>
      </c>
      <c r="F152" s="2">
        <f t="shared" ca="1" si="4"/>
        <v>61</v>
      </c>
      <c r="G152" s="2" t="s">
        <v>127</v>
      </c>
      <c r="H152" s="2" t="s">
        <v>125</v>
      </c>
      <c r="I152" s="2" t="s">
        <v>62</v>
      </c>
      <c r="J152" s="2" t="s">
        <v>24</v>
      </c>
      <c r="K152" s="2" t="s">
        <v>18</v>
      </c>
      <c r="L152" s="2" t="s">
        <v>25</v>
      </c>
      <c r="M152" s="2" t="s">
        <v>35</v>
      </c>
      <c r="N152" s="2" t="s">
        <v>661</v>
      </c>
      <c r="O152" s="2" t="s">
        <v>662</v>
      </c>
    </row>
    <row r="153" spans="1:15" ht="15.75" customHeight="1" x14ac:dyDescent="0.35"/>
    <row r="154" spans="1:15" ht="15.75" customHeight="1" x14ac:dyDescent="0.35"/>
    <row r="155" spans="1:15" ht="15.75" customHeight="1" x14ac:dyDescent="0.35"/>
    <row r="156" spans="1:15" ht="15.75" customHeight="1" x14ac:dyDescent="0.35"/>
    <row r="157" spans="1:15" ht="15.75" customHeight="1" x14ac:dyDescent="0.35"/>
    <row r="158" spans="1:15" ht="15.75" customHeight="1" x14ac:dyDescent="0.35"/>
    <row r="159" spans="1:15" ht="15.75" customHeight="1" x14ac:dyDescent="0.35"/>
    <row r="160" spans="1:15"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O28" r:id="rId1" xr:uid="{64B54C20-C62D-407B-8167-734D3A92A9DA}"/>
    <hyperlink ref="O30" r:id="rId2" xr:uid="{5A01D287-8078-4E80-8846-B277A918B58A}"/>
    <hyperlink ref="O32" r:id="rId3" xr:uid="{E4779789-3EA9-4B0C-8493-3D5061BA25DB}"/>
    <hyperlink ref="O35" r:id="rId4" xr:uid="{0F5B8862-6BA3-4014-8677-AF6C03A8C546}"/>
    <hyperlink ref="O63" r:id="rId5" xr:uid="{7DB8ED0D-8D93-4C4B-961E-70363BD6C9B0}"/>
    <hyperlink ref="O64" r:id="rId6" xr:uid="{326A2930-2B94-46DE-8DCE-97137196104F}"/>
  </hyperlinks>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93E9-10D9-4C4B-ABD3-CED33A610D20}">
  <sheetPr codeName="Sheet3"/>
  <dimension ref="B3:R154"/>
  <sheetViews>
    <sheetView zoomScale="91" zoomScaleNormal="91" workbookViewId="0"/>
  </sheetViews>
  <sheetFormatPr defaultColWidth="9.1796875" defaultRowHeight="14.5" x14ac:dyDescent="0.35"/>
  <cols>
    <col min="1" max="1" width="9.1796875" style="15"/>
    <col min="2" max="2" width="28.54296875" style="15" bestFit="1" customWidth="1"/>
    <col min="3" max="3" width="19.7265625" style="15" bestFit="1" customWidth="1"/>
    <col min="4" max="4" width="19.26953125" style="15" bestFit="1" customWidth="1"/>
    <col min="5" max="5" width="8.81640625" style="15" bestFit="1" customWidth="1"/>
    <col min="6" max="6" width="7.54296875" style="15" bestFit="1" customWidth="1"/>
    <col min="7" max="7" width="4.453125" style="15" bestFit="1" customWidth="1"/>
    <col min="8" max="8" width="16.26953125" style="15" bestFit="1" customWidth="1"/>
    <col min="9" max="9" width="9.1796875" style="15" bestFit="1" customWidth="1"/>
    <col min="10" max="10" width="22.54296875" style="15" bestFit="1" customWidth="1"/>
    <col min="11" max="11" width="15.81640625" style="15" bestFit="1" customWidth="1"/>
    <col min="12" max="12" width="13.26953125" style="15" bestFit="1" customWidth="1"/>
    <col min="13" max="13" width="16.453125" style="15" bestFit="1" customWidth="1"/>
    <col min="14" max="14" width="10.1796875" style="15" bestFit="1" customWidth="1"/>
    <col min="15" max="15" width="18.54296875" style="15" bestFit="1" customWidth="1"/>
    <col min="16" max="16" width="33.453125" style="15" bestFit="1" customWidth="1"/>
    <col min="17" max="17" width="10.453125" style="15" bestFit="1" customWidth="1"/>
    <col min="18" max="18" width="17.26953125" style="15" bestFit="1" customWidth="1"/>
    <col min="19" max="16384" width="9.1796875" style="15"/>
  </cols>
  <sheetData>
    <row r="3" spans="2:18" x14ac:dyDescent="0.35">
      <c r="B3" s="16" t="s">
        <v>708</v>
      </c>
      <c r="C3" s="16" t="s">
        <v>709</v>
      </c>
      <c r="D3" s="16" t="s">
        <v>710</v>
      </c>
      <c r="E3" s="16" t="s">
        <v>737</v>
      </c>
      <c r="F3" s="16" t="s">
        <v>711</v>
      </c>
      <c r="G3" s="16" t="s">
        <v>712</v>
      </c>
      <c r="H3" s="16" t="s">
        <v>714</v>
      </c>
      <c r="I3" s="16" t="s">
        <v>713</v>
      </c>
      <c r="J3" s="16" t="s">
        <v>0</v>
      </c>
      <c r="K3" s="16" t="s">
        <v>1</v>
      </c>
      <c r="L3" s="16" t="s">
        <v>2</v>
      </c>
      <c r="M3" s="16" t="s">
        <v>725</v>
      </c>
      <c r="N3" s="16" t="s">
        <v>4</v>
      </c>
      <c r="O3" s="16" t="s">
        <v>5</v>
      </c>
      <c r="P3" s="16" t="s">
        <v>6</v>
      </c>
      <c r="Q3" s="16" t="s">
        <v>716</v>
      </c>
      <c r="R3" s="16" t="s">
        <v>717</v>
      </c>
    </row>
    <row r="4" spans="2:18" x14ac:dyDescent="0.35">
      <c r="B4" s="17" t="s">
        <v>7</v>
      </c>
      <c r="C4" s="17" t="s">
        <v>663</v>
      </c>
      <c r="D4" s="17" t="s">
        <v>671</v>
      </c>
      <c r="E4" s="17" t="s">
        <v>126</v>
      </c>
      <c r="F4" s="17" t="s">
        <v>124</v>
      </c>
      <c r="G4" s="17">
        <v>67</v>
      </c>
      <c r="H4" s="17" t="s">
        <v>127</v>
      </c>
      <c r="I4" s="17" t="s">
        <v>125</v>
      </c>
      <c r="J4" s="17" t="s">
        <v>8</v>
      </c>
      <c r="K4" s="17" t="s">
        <v>9</v>
      </c>
      <c r="L4" s="17" t="s">
        <v>10</v>
      </c>
      <c r="M4" s="17" t="s">
        <v>11</v>
      </c>
      <c r="N4" s="17" t="s">
        <v>12</v>
      </c>
      <c r="O4" s="17" t="s">
        <v>13</v>
      </c>
      <c r="P4" s="17" t="s">
        <v>14</v>
      </c>
      <c r="Q4" s="17" t="s">
        <v>722</v>
      </c>
      <c r="R4" s="17" t="s">
        <v>723</v>
      </c>
    </row>
    <row r="5" spans="2:18" x14ac:dyDescent="0.35">
      <c r="B5" s="18" t="s">
        <v>15</v>
      </c>
      <c r="C5" s="18" t="s">
        <v>664</v>
      </c>
      <c r="D5" s="18" t="s">
        <v>671</v>
      </c>
      <c r="E5" s="18" t="s">
        <v>126</v>
      </c>
      <c r="F5" s="18" t="s">
        <v>124</v>
      </c>
      <c r="G5" s="18">
        <v>29</v>
      </c>
      <c r="H5" s="18" t="s">
        <v>132</v>
      </c>
      <c r="I5" s="18" t="s">
        <v>125</v>
      </c>
      <c r="J5" s="18" t="s">
        <v>16</v>
      </c>
      <c r="K5" s="18" t="s">
        <v>17</v>
      </c>
      <c r="L5" s="18" t="s">
        <v>18</v>
      </c>
      <c r="M5" s="18" t="s">
        <v>19</v>
      </c>
      <c r="N5" s="18" t="s">
        <v>20</v>
      </c>
      <c r="O5" s="18" t="s">
        <v>21</v>
      </c>
      <c r="P5" s="18" t="s">
        <v>22</v>
      </c>
      <c r="Q5" s="18" t="s">
        <v>724</v>
      </c>
      <c r="R5" s="18" t="s">
        <v>719</v>
      </c>
    </row>
    <row r="6" spans="2:18" x14ac:dyDescent="0.35">
      <c r="B6" s="17" t="s">
        <v>23</v>
      </c>
      <c r="C6" s="17" t="s">
        <v>23</v>
      </c>
      <c r="D6" s="17" t="s">
        <v>23</v>
      </c>
      <c r="E6" s="17" t="s">
        <v>126</v>
      </c>
      <c r="F6" s="17" t="s">
        <v>139</v>
      </c>
      <c r="G6" s="17">
        <v>42</v>
      </c>
      <c r="H6" s="17" t="s">
        <v>127</v>
      </c>
      <c r="I6" s="17" t="s">
        <v>125</v>
      </c>
      <c r="J6" s="17" t="s">
        <v>16</v>
      </c>
      <c r="K6" s="17" t="s">
        <v>24</v>
      </c>
      <c r="L6" s="17" t="s">
        <v>18</v>
      </c>
      <c r="M6" s="17" t="s">
        <v>25</v>
      </c>
      <c r="N6" s="17" t="s">
        <v>26</v>
      </c>
      <c r="O6" s="17" t="s">
        <v>27</v>
      </c>
      <c r="P6" s="17" t="s">
        <v>28</v>
      </c>
      <c r="Q6" s="17" t="s">
        <v>720</v>
      </c>
      <c r="R6" s="17" t="s">
        <v>719</v>
      </c>
    </row>
    <row r="7" spans="2:18" x14ac:dyDescent="0.35">
      <c r="B7" s="18" t="s">
        <v>29</v>
      </c>
      <c r="C7" s="18" t="s">
        <v>29</v>
      </c>
      <c r="D7" s="18" t="s">
        <v>29</v>
      </c>
      <c r="E7" s="18" t="s">
        <v>126</v>
      </c>
      <c r="F7" s="18" t="s">
        <v>124</v>
      </c>
      <c r="G7" s="18">
        <v>68</v>
      </c>
      <c r="H7" s="18" t="s">
        <v>127</v>
      </c>
      <c r="I7" s="18" t="s">
        <v>145</v>
      </c>
      <c r="J7" s="18" t="s">
        <v>16</v>
      </c>
      <c r="K7" s="18" t="s">
        <v>10</v>
      </c>
      <c r="L7" s="18" t="s">
        <v>10</v>
      </c>
      <c r="M7" s="18" t="s">
        <v>25</v>
      </c>
      <c r="N7" s="18" t="s">
        <v>26</v>
      </c>
      <c r="O7" s="18" t="s">
        <v>30</v>
      </c>
      <c r="P7" s="18" t="s">
        <v>31</v>
      </c>
      <c r="Q7" s="18" t="s">
        <v>722</v>
      </c>
      <c r="R7" s="18" t="s">
        <v>723</v>
      </c>
    </row>
    <row r="8" spans="2:18" x14ac:dyDescent="0.35">
      <c r="B8" s="17" t="s">
        <v>32</v>
      </c>
      <c r="C8" s="17" t="s">
        <v>32</v>
      </c>
      <c r="D8" s="17" t="s">
        <v>32</v>
      </c>
      <c r="E8" s="17" t="s">
        <v>150</v>
      </c>
      <c r="F8" s="17" t="s">
        <v>139</v>
      </c>
      <c r="G8" s="17">
        <v>34</v>
      </c>
      <c r="H8" s="17" t="s">
        <v>127</v>
      </c>
      <c r="I8" s="17" t="s">
        <v>149</v>
      </c>
      <c r="J8" s="17" t="s">
        <v>33</v>
      </c>
      <c r="K8" s="17" t="s">
        <v>34</v>
      </c>
      <c r="L8" s="17" t="s">
        <v>18</v>
      </c>
      <c r="M8" s="17" t="s">
        <v>25</v>
      </c>
      <c r="N8" s="17" t="s">
        <v>35</v>
      </c>
      <c r="O8" s="17" t="s">
        <v>36</v>
      </c>
      <c r="P8" s="17" t="s">
        <v>37</v>
      </c>
      <c r="Q8" s="17" t="s">
        <v>721</v>
      </c>
      <c r="R8" s="17" t="s">
        <v>719</v>
      </c>
    </row>
    <row r="9" spans="2:18" x14ac:dyDescent="0.35">
      <c r="B9" s="18" t="s">
        <v>38</v>
      </c>
      <c r="C9" s="18" t="s">
        <v>38</v>
      </c>
      <c r="D9" s="18" t="s">
        <v>38</v>
      </c>
      <c r="E9" s="18" t="s">
        <v>150</v>
      </c>
      <c r="F9" s="18" t="s">
        <v>124</v>
      </c>
      <c r="G9" s="18">
        <v>32</v>
      </c>
      <c r="H9" s="18" t="s">
        <v>127</v>
      </c>
      <c r="I9" s="18" t="s">
        <v>145</v>
      </c>
      <c r="J9" s="18" t="s">
        <v>39</v>
      </c>
      <c r="K9" s="18" t="s">
        <v>10</v>
      </c>
      <c r="L9" s="18" t="s">
        <v>10</v>
      </c>
      <c r="M9" s="18" t="s">
        <v>11</v>
      </c>
      <c r="N9" s="18" t="s">
        <v>35</v>
      </c>
      <c r="O9" s="18" t="s">
        <v>40</v>
      </c>
      <c r="P9" s="18" t="s">
        <v>41</v>
      </c>
      <c r="Q9" s="18" t="s">
        <v>721</v>
      </c>
      <c r="R9" s="18" t="s">
        <v>719</v>
      </c>
    </row>
    <row r="10" spans="2:18" x14ac:dyDescent="0.35">
      <c r="B10" s="17" t="s">
        <v>42</v>
      </c>
      <c r="C10" s="17" t="s">
        <v>42</v>
      </c>
      <c r="D10" s="17" t="s">
        <v>42</v>
      </c>
      <c r="E10" s="17" t="s">
        <v>126</v>
      </c>
      <c r="F10" s="17" t="s">
        <v>124</v>
      </c>
      <c r="G10" s="17">
        <v>45</v>
      </c>
      <c r="H10" s="17" t="s">
        <v>127</v>
      </c>
      <c r="I10" s="17" t="s">
        <v>125</v>
      </c>
      <c r="J10" s="17" t="s">
        <v>43</v>
      </c>
      <c r="K10" s="17" t="s">
        <v>34</v>
      </c>
      <c r="L10" s="17" t="s">
        <v>18</v>
      </c>
      <c r="M10" s="17" t="s">
        <v>11</v>
      </c>
      <c r="N10" s="17" t="s">
        <v>35</v>
      </c>
      <c r="O10" s="17" t="s">
        <v>44</v>
      </c>
      <c r="P10" s="17" t="s">
        <v>45</v>
      </c>
      <c r="Q10" s="17" t="s">
        <v>720</v>
      </c>
      <c r="R10" s="17" t="s">
        <v>719</v>
      </c>
    </row>
    <row r="11" spans="2:18" x14ac:dyDescent="0.35">
      <c r="B11" s="18" t="s">
        <v>46</v>
      </c>
      <c r="C11" s="18" t="s">
        <v>46</v>
      </c>
      <c r="D11" s="18" t="s">
        <v>46</v>
      </c>
      <c r="E11" s="18" t="s">
        <v>126</v>
      </c>
      <c r="F11" s="18" t="s">
        <v>139</v>
      </c>
      <c r="G11" s="18">
        <v>30</v>
      </c>
      <c r="H11" s="18" t="s">
        <v>127</v>
      </c>
      <c r="I11" s="18" t="s">
        <v>149</v>
      </c>
      <c r="J11" s="18" t="s">
        <v>16</v>
      </c>
      <c r="K11" s="18" t="s">
        <v>17</v>
      </c>
      <c r="L11" s="18" t="s">
        <v>18</v>
      </c>
      <c r="M11" s="18" t="s">
        <v>19</v>
      </c>
      <c r="N11" s="18" t="s">
        <v>47</v>
      </c>
      <c r="O11" s="18" t="s">
        <v>48</v>
      </c>
      <c r="P11" s="18" t="s">
        <v>49</v>
      </c>
      <c r="Q11" s="18" t="s">
        <v>724</v>
      </c>
      <c r="R11" s="18" t="s">
        <v>719</v>
      </c>
    </row>
    <row r="12" spans="2:18" x14ac:dyDescent="0.35">
      <c r="B12" s="17" t="s">
        <v>50</v>
      </c>
      <c r="C12" s="17" t="s">
        <v>665</v>
      </c>
      <c r="D12" s="17" t="s">
        <v>671</v>
      </c>
      <c r="E12" s="17" t="s">
        <v>126</v>
      </c>
      <c r="F12" s="17" t="s">
        <v>124</v>
      </c>
      <c r="G12" s="17">
        <v>65</v>
      </c>
      <c r="H12" s="17" t="s">
        <v>132</v>
      </c>
      <c r="I12" s="17" t="s">
        <v>125</v>
      </c>
      <c r="J12" s="17" t="s">
        <v>51</v>
      </c>
      <c r="K12" s="17" t="s">
        <v>17</v>
      </c>
      <c r="L12" s="17" t="s">
        <v>18</v>
      </c>
      <c r="M12" s="17" t="s">
        <v>19</v>
      </c>
      <c r="N12" s="17" t="s">
        <v>12</v>
      </c>
      <c r="O12" s="17" t="s">
        <v>52</v>
      </c>
      <c r="P12" s="17" t="s">
        <v>53</v>
      </c>
      <c r="Q12" s="17" t="s">
        <v>722</v>
      </c>
      <c r="R12" s="17" t="s">
        <v>723</v>
      </c>
    </row>
    <row r="13" spans="2:18" x14ac:dyDescent="0.35">
      <c r="B13" s="18" t="s">
        <v>54</v>
      </c>
      <c r="C13" s="18" t="s">
        <v>666</v>
      </c>
      <c r="D13" s="18" t="s">
        <v>672</v>
      </c>
      <c r="E13" s="18" t="s">
        <v>126</v>
      </c>
      <c r="F13" s="18" t="s">
        <v>124</v>
      </c>
      <c r="G13" s="18">
        <v>54</v>
      </c>
      <c r="H13" s="18" t="s">
        <v>127</v>
      </c>
      <c r="I13" s="18" t="s">
        <v>125</v>
      </c>
      <c r="J13" s="18" t="s">
        <v>8</v>
      </c>
      <c r="K13" s="18" t="s">
        <v>55</v>
      </c>
      <c r="L13" s="18" t="s">
        <v>10</v>
      </c>
      <c r="M13" s="18" t="s">
        <v>11</v>
      </c>
      <c r="N13" s="18" t="s">
        <v>35</v>
      </c>
      <c r="O13" s="18" t="s">
        <v>56</v>
      </c>
      <c r="P13" s="18" t="s">
        <v>57</v>
      </c>
      <c r="Q13" s="18" t="s">
        <v>718</v>
      </c>
      <c r="R13" s="18" t="s">
        <v>719</v>
      </c>
    </row>
    <row r="14" spans="2:18" x14ac:dyDescent="0.35">
      <c r="B14" s="17" t="s">
        <v>58</v>
      </c>
      <c r="C14" s="17" t="s">
        <v>58</v>
      </c>
      <c r="D14" s="17" t="s">
        <v>58</v>
      </c>
      <c r="E14" s="17" t="s">
        <v>126</v>
      </c>
      <c r="F14" s="17" t="s">
        <v>124</v>
      </c>
      <c r="G14" s="17">
        <v>49</v>
      </c>
      <c r="H14" s="17" t="s">
        <v>127</v>
      </c>
      <c r="I14" s="17" t="s">
        <v>149</v>
      </c>
      <c r="J14" s="17" t="s">
        <v>33</v>
      </c>
      <c r="K14" s="17" t="s">
        <v>10</v>
      </c>
      <c r="L14" s="17" t="s">
        <v>10</v>
      </c>
      <c r="M14" s="17" t="s">
        <v>11</v>
      </c>
      <c r="N14" s="17" t="s">
        <v>35</v>
      </c>
      <c r="O14" s="17" t="s">
        <v>59</v>
      </c>
      <c r="P14" s="17" t="s">
        <v>60</v>
      </c>
      <c r="Q14" s="17" t="s">
        <v>720</v>
      </c>
      <c r="R14" s="17" t="s">
        <v>719</v>
      </c>
    </row>
    <row r="15" spans="2:18" x14ac:dyDescent="0.35">
      <c r="B15" s="18" t="s">
        <v>61</v>
      </c>
      <c r="C15" s="18" t="s">
        <v>61</v>
      </c>
      <c r="D15" s="18" t="s">
        <v>61</v>
      </c>
      <c r="E15" s="18" t="s">
        <v>126</v>
      </c>
      <c r="F15" s="18" t="s">
        <v>124</v>
      </c>
      <c r="G15" s="18">
        <v>37</v>
      </c>
      <c r="H15" s="18" t="s">
        <v>127</v>
      </c>
      <c r="I15" s="18" t="s">
        <v>125</v>
      </c>
      <c r="J15" s="18" t="s">
        <v>62</v>
      </c>
      <c r="K15" s="18" t="s">
        <v>63</v>
      </c>
      <c r="L15" s="18" t="s">
        <v>10</v>
      </c>
      <c r="M15" s="18" t="s">
        <v>25</v>
      </c>
      <c r="N15" s="18" t="s">
        <v>35</v>
      </c>
      <c r="O15" s="18" t="s">
        <v>64</v>
      </c>
      <c r="P15" s="18" t="s">
        <v>65</v>
      </c>
      <c r="Q15" s="18" t="s">
        <v>721</v>
      </c>
      <c r="R15" s="18" t="s">
        <v>719</v>
      </c>
    </row>
    <row r="16" spans="2:18" x14ac:dyDescent="0.35">
      <c r="B16" s="17" t="s">
        <v>66</v>
      </c>
      <c r="C16" s="17" t="s">
        <v>66</v>
      </c>
      <c r="D16" s="17" t="s">
        <v>66</v>
      </c>
      <c r="E16" s="17" t="s">
        <v>150</v>
      </c>
      <c r="F16" s="17" t="s">
        <v>124</v>
      </c>
      <c r="G16" s="17">
        <v>51</v>
      </c>
      <c r="H16" s="17" t="s">
        <v>127</v>
      </c>
      <c r="I16" s="17" t="s">
        <v>125</v>
      </c>
      <c r="J16" s="17" t="s">
        <v>62</v>
      </c>
      <c r="K16" s="17" t="s">
        <v>63</v>
      </c>
      <c r="L16" s="17" t="s">
        <v>10</v>
      </c>
      <c r="M16" s="17" t="s">
        <v>19</v>
      </c>
      <c r="N16" s="17" t="s">
        <v>12</v>
      </c>
      <c r="O16" s="17" t="s">
        <v>67</v>
      </c>
      <c r="P16" s="17" t="s">
        <v>68</v>
      </c>
      <c r="Q16" s="17" t="s">
        <v>720</v>
      </c>
      <c r="R16" s="17" t="s">
        <v>719</v>
      </c>
    </row>
    <row r="17" spans="2:18" x14ac:dyDescent="0.35">
      <c r="B17" s="18" t="s">
        <v>69</v>
      </c>
      <c r="C17" s="18" t="s">
        <v>667</v>
      </c>
      <c r="D17" s="18" t="s">
        <v>671</v>
      </c>
      <c r="E17" s="18" t="s">
        <v>150</v>
      </c>
      <c r="F17" s="18" t="s">
        <v>139</v>
      </c>
      <c r="G17" s="18">
        <v>32</v>
      </c>
      <c r="H17" s="18" t="s">
        <v>127</v>
      </c>
      <c r="I17" s="18" t="s">
        <v>125</v>
      </c>
      <c r="J17" s="18" t="s">
        <v>8</v>
      </c>
      <c r="K17" s="18" t="s">
        <v>9</v>
      </c>
      <c r="L17" s="18" t="s">
        <v>10</v>
      </c>
      <c r="M17" s="18" t="s">
        <v>11</v>
      </c>
      <c r="N17" s="18" t="s">
        <v>35</v>
      </c>
      <c r="O17" s="18" t="s">
        <v>70</v>
      </c>
      <c r="P17" s="18" t="s">
        <v>71</v>
      </c>
      <c r="Q17" s="18" t="s">
        <v>721</v>
      </c>
      <c r="R17" s="18" t="s">
        <v>719</v>
      </c>
    </row>
    <row r="18" spans="2:18" x14ac:dyDescent="0.35">
      <c r="B18" s="17" t="s">
        <v>72</v>
      </c>
      <c r="C18" s="17" t="s">
        <v>72</v>
      </c>
      <c r="D18" s="17" t="s">
        <v>72</v>
      </c>
      <c r="E18" s="17" t="s">
        <v>126</v>
      </c>
      <c r="F18" s="17" t="s">
        <v>124</v>
      </c>
      <c r="G18" s="17">
        <v>58</v>
      </c>
      <c r="H18" s="17" t="s">
        <v>127</v>
      </c>
      <c r="I18" s="17" t="s">
        <v>125</v>
      </c>
      <c r="J18" s="17" t="s">
        <v>43</v>
      </c>
      <c r="K18" s="17" t="s">
        <v>34</v>
      </c>
      <c r="L18" s="17" t="s">
        <v>18</v>
      </c>
      <c r="M18" s="17" t="s">
        <v>25</v>
      </c>
      <c r="N18" s="17" t="s">
        <v>35</v>
      </c>
      <c r="O18" s="17" t="s">
        <v>73</v>
      </c>
      <c r="P18" s="17" t="s">
        <v>74</v>
      </c>
      <c r="Q18" s="17" t="s">
        <v>718</v>
      </c>
      <c r="R18" s="17" t="s">
        <v>719</v>
      </c>
    </row>
    <row r="19" spans="2:18" x14ac:dyDescent="0.35">
      <c r="B19" s="18" t="s">
        <v>75</v>
      </c>
      <c r="C19" s="18" t="s">
        <v>75</v>
      </c>
      <c r="D19" s="18" t="s">
        <v>75</v>
      </c>
      <c r="E19" s="18" t="s">
        <v>126</v>
      </c>
      <c r="F19" s="18" t="s">
        <v>124</v>
      </c>
      <c r="G19" s="18">
        <v>29</v>
      </c>
      <c r="H19" s="18" t="s">
        <v>132</v>
      </c>
      <c r="I19" s="18" t="s">
        <v>125</v>
      </c>
      <c r="J19" s="18" t="s">
        <v>62</v>
      </c>
      <c r="K19" s="18" t="s">
        <v>10</v>
      </c>
      <c r="L19" s="18" t="s">
        <v>10</v>
      </c>
      <c r="M19" s="18" t="s">
        <v>19</v>
      </c>
      <c r="N19" s="18" t="s">
        <v>12</v>
      </c>
      <c r="O19" s="18" t="s">
        <v>76</v>
      </c>
      <c r="P19" s="18" t="s">
        <v>77</v>
      </c>
      <c r="Q19" s="18" t="s">
        <v>724</v>
      </c>
      <c r="R19" s="18" t="s">
        <v>719</v>
      </c>
    </row>
    <row r="20" spans="2:18" x14ac:dyDescent="0.35">
      <c r="B20" s="17" t="s">
        <v>78</v>
      </c>
      <c r="C20" s="17" t="s">
        <v>78</v>
      </c>
      <c r="D20" s="17" t="s">
        <v>78</v>
      </c>
      <c r="E20" s="17" t="s">
        <v>126</v>
      </c>
      <c r="F20" s="17" t="s">
        <v>124</v>
      </c>
      <c r="G20" s="17">
        <v>61</v>
      </c>
      <c r="H20" s="17" t="s">
        <v>127</v>
      </c>
      <c r="I20" s="17" t="s">
        <v>145</v>
      </c>
      <c r="J20" s="17" t="s">
        <v>33</v>
      </c>
      <c r="K20" s="17" t="s">
        <v>17</v>
      </c>
      <c r="L20" s="17" t="s">
        <v>18</v>
      </c>
      <c r="M20" s="17" t="s">
        <v>11</v>
      </c>
      <c r="N20" s="17" t="s">
        <v>35</v>
      </c>
      <c r="O20" s="17" t="s">
        <v>79</v>
      </c>
      <c r="P20" s="17" t="s">
        <v>80</v>
      </c>
      <c r="Q20" s="17" t="s">
        <v>718</v>
      </c>
      <c r="R20" s="17" t="s">
        <v>719</v>
      </c>
    </row>
    <row r="21" spans="2:18" x14ac:dyDescent="0.35">
      <c r="B21" s="18" t="s">
        <v>81</v>
      </c>
      <c r="C21" s="18" t="s">
        <v>81</v>
      </c>
      <c r="D21" s="18" t="s">
        <v>81</v>
      </c>
      <c r="E21" s="18" t="s">
        <v>150</v>
      </c>
      <c r="F21" s="18" t="s">
        <v>124</v>
      </c>
      <c r="G21" s="18">
        <v>26</v>
      </c>
      <c r="H21" s="18" t="s">
        <v>127</v>
      </c>
      <c r="I21" s="18" t="s">
        <v>149</v>
      </c>
      <c r="J21" s="18" t="s">
        <v>16</v>
      </c>
      <c r="K21" s="18" t="s">
        <v>10</v>
      </c>
      <c r="L21" s="18" t="s">
        <v>10</v>
      </c>
      <c r="M21" s="18" t="s">
        <v>19</v>
      </c>
      <c r="N21" s="18" t="s">
        <v>20</v>
      </c>
      <c r="O21" s="18" t="s">
        <v>82</v>
      </c>
      <c r="P21" s="18" t="s">
        <v>83</v>
      </c>
      <c r="Q21" s="18" t="s">
        <v>724</v>
      </c>
      <c r="R21" s="18" t="s">
        <v>719</v>
      </c>
    </row>
    <row r="22" spans="2:18" x14ac:dyDescent="0.35">
      <c r="B22" s="17" t="s">
        <v>84</v>
      </c>
      <c r="C22" s="17" t="s">
        <v>84</v>
      </c>
      <c r="D22" s="17" t="s">
        <v>84</v>
      </c>
      <c r="E22" s="17" t="s">
        <v>126</v>
      </c>
      <c r="F22" s="17" t="s">
        <v>124</v>
      </c>
      <c r="G22" s="17">
        <v>41</v>
      </c>
      <c r="H22" s="17" t="s">
        <v>127</v>
      </c>
      <c r="I22" s="17" t="s">
        <v>125</v>
      </c>
      <c r="J22" s="17" t="s">
        <v>16</v>
      </c>
      <c r="K22" s="17" t="s">
        <v>85</v>
      </c>
      <c r="L22" s="17" t="s">
        <v>18</v>
      </c>
      <c r="M22" s="17" t="s">
        <v>19</v>
      </c>
      <c r="N22" s="17" t="s">
        <v>20</v>
      </c>
      <c r="O22" s="17" t="s">
        <v>86</v>
      </c>
      <c r="P22" s="17" t="s">
        <v>87</v>
      </c>
      <c r="Q22" s="17" t="s">
        <v>721</v>
      </c>
      <c r="R22" s="17" t="s">
        <v>719</v>
      </c>
    </row>
    <row r="23" spans="2:18" x14ac:dyDescent="0.35">
      <c r="B23" s="18" t="s">
        <v>88</v>
      </c>
      <c r="C23" s="18" t="s">
        <v>88</v>
      </c>
      <c r="D23" s="18" t="s">
        <v>88</v>
      </c>
      <c r="E23" s="18" t="s">
        <v>126</v>
      </c>
      <c r="F23" s="18" t="s">
        <v>124</v>
      </c>
      <c r="G23" s="18">
        <v>55</v>
      </c>
      <c r="H23" s="18" t="s">
        <v>127</v>
      </c>
      <c r="I23" s="18" t="s">
        <v>125</v>
      </c>
      <c r="J23" s="18" t="s">
        <v>16</v>
      </c>
      <c r="K23" s="18" t="s">
        <v>89</v>
      </c>
      <c r="L23" s="18" t="s">
        <v>18</v>
      </c>
      <c r="M23" s="18" t="s">
        <v>19</v>
      </c>
      <c r="N23" s="18" t="s">
        <v>20</v>
      </c>
      <c r="O23" s="18" t="s">
        <v>90</v>
      </c>
      <c r="P23" s="18" t="s">
        <v>91</v>
      </c>
      <c r="Q23" s="18" t="s">
        <v>718</v>
      </c>
      <c r="R23" s="18" t="s">
        <v>719</v>
      </c>
    </row>
    <row r="24" spans="2:18" x14ac:dyDescent="0.35">
      <c r="B24" s="17" t="s">
        <v>92</v>
      </c>
      <c r="C24" s="17" t="s">
        <v>92</v>
      </c>
      <c r="D24" s="17" t="s">
        <v>92</v>
      </c>
      <c r="E24" s="17" t="s">
        <v>126</v>
      </c>
      <c r="F24" s="17" t="s">
        <v>124</v>
      </c>
      <c r="G24" s="17">
        <v>50</v>
      </c>
      <c r="H24" s="17" t="s">
        <v>127</v>
      </c>
      <c r="I24" s="17" t="s">
        <v>125</v>
      </c>
      <c r="J24" s="17" t="s">
        <v>16</v>
      </c>
      <c r="K24" s="17" t="s">
        <v>10</v>
      </c>
      <c r="L24" s="17" t="s">
        <v>10</v>
      </c>
      <c r="M24" s="17" t="s">
        <v>25</v>
      </c>
      <c r="N24" s="17" t="s">
        <v>26</v>
      </c>
      <c r="O24" s="17" t="s">
        <v>93</v>
      </c>
      <c r="P24" s="17" t="s">
        <v>94</v>
      </c>
      <c r="Q24" s="17" t="s">
        <v>720</v>
      </c>
      <c r="R24" s="17" t="s">
        <v>719</v>
      </c>
    </row>
    <row r="25" spans="2:18" x14ac:dyDescent="0.35">
      <c r="B25" s="18" t="s">
        <v>95</v>
      </c>
      <c r="C25" s="18" t="s">
        <v>95</v>
      </c>
      <c r="D25" s="18" t="s">
        <v>95</v>
      </c>
      <c r="E25" s="18" t="s">
        <v>150</v>
      </c>
      <c r="F25" s="18" t="s">
        <v>139</v>
      </c>
      <c r="G25" s="18">
        <v>43</v>
      </c>
      <c r="H25" s="18" t="s">
        <v>127</v>
      </c>
      <c r="I25" s="18" t="s">
        <v>149</v>
      </c>
      <c r="J25" s="18" t="s">
        <v>16</v>
      </c>
      <c r="K25" s="18" t="s">
        <v>17</v>
      </c>
      <c r="L25" s="18" t="s">
        <v>18</v>
      </c>
      <c r="M25" s="18" t="s">
        <v>19</v>
      </c>
      <c r="N25" s="18" t="s">
        <v>20</v>
      </c>
      <c r="O25" s="18" t="s">
        <v>96</v>
      </c>
      <c r="P25" s="18" t="s">
        <v>97</v>
      </c>
      <c r="Q25" s="18" t="s">
        <v>720</v>
      </c>
      <c r="R25" s="18" t="s">
        <v>719</v>
      </c>
    </row>
    <row r="26" spans="2:18" x14ac:dyDescent="0.35">
      <c r="B26" s="17" t="s">
        <v>98</v>
      </c>
      <c r="C26" s="17" t="s">
        <v>98</v>
      </c>
      <c r="D26" s="17" t="s">
        <v>98</v>
      </c>
      <c r="E26" s="17" t="s">
        <v>150</v>
      </c>
      <c r="F26" s="17" t="s">
        <v>139</v>
      </c>
      <c r="G26" s="17">
        <v>65</v>
      </c>
      <c r="H26" s="17" t="s">
        <v>132</v>
      </c>
      <c r="I26" s="17" t="s">
        <v>125</v>
      </c>
      <c r="J26" s="17" t="s">
        <v>43</v>
      </c>
      <c r="K26" s="17" t="s">
        <v>17</v>
      </c>
      <c r="L26" s="17" t="s">
        <v>18</v>
      </c>
      <c r="M26" s="17" t="s">
        <v>25</v>
      </c>
      <c r="N26" s="17" t="s">
        <v>35</v>
      </c>
      <c r="O26" s="17" t="s">
        <v>99</v>
      </c>
      <c r="P26" s="17" t="s">
        <v>100</v>
      </c>
      <c r="Q26" s="17" t="s">
        <v>722</v>
      </c>
      <c r="R26" s="17" t="s">
        <v>723</v>
      </c>
    </row>
    <row r="27" spans="2:18" x14ac:dyDescent="0.35">
      <c r="B27" s="18" t="s">
        <v>101</v>
      </c>
      <c r="C27" s="18" t="s">
        <v>668</v>
      </c>
      <c r="D27" s="18" t="s">
        <v>673</v>
      </c>
      <c r="E27" s="18" t="s">
        <v>126</v>
      </c>
      <c r="F27" s="18" t="s">
        <v>139</v>
      </c>
      <c r="G27" s="18">
        <v>46</v>
      </c>
      <c r="H27" s="18" t="s">
        <v>127</v>
      </c>
      <c r="I27" s="18" t="s">
        <v>125</v>
      </c>
      <c r="J27" s="18" t="s">
        <v>16</v>
      </c>
      <c r="K27" s="18" t="s">
        <v>34</v>
      </c>
      <c r="L27" s="18" t="s">
        <v>18</v>
      </c>
      <c r="M27" s="18" t="s">
        <v>19</v>
      </c>
      <c r="N27" s="18" t="s">
        <v>20</v>
      </c>
      <c r="O27" s="18" t="s">
        <v>102</v>
      </c>
      <c r="P27" s="18" t="s">
        <v>103</v>
      </c>
      <c r="Q27" s="18" t="s">
        <v>720</v>
      </c>
      <c r="R27" s="18" t="s">
        <v>719</v>
      </c>
    </row>
    <row r="28" spans="2:18" x14ac:dyDescent="0.35">
      <c r="B28" s="17" t="s">
        <v>104</v>
      </c>
      <c r="C28" s="17" t="s">
        <v>104</v>
      </c>
      <c r="D28" s="17" t="s">
        <v>104</v>
      </c>
      <c r="E28" s="17" t="s">
        <v>150</v>
      </c>
      <c r="F28" s="17" t="s">
        <v>124</v>
      </c>
      <c r="G28" s="17">
        <v>62</v>
      </c>
      <c r="H28" s="17" t="s">
        <v>127</v>
      </c>
      <c r="I28" s="17" t="s">
        <v>125</v>
      </c>
      <c r="J28" s="17" t="s">
        <v>51</v>
      </c>
      <c r="K28" s="17" t="s">
        <v>17</v>
      </c>
      <c r="L28" s="17" t="s">
        <v>18</v>
      </c>
      <c r="M28" s="17" t="s">
        <v>25</v>
      </c>
      <c r="N28" s="17" t="s">
        <v>35</v>
      </c>
      <c r="O28" s="17" t="s">
        <v>105</v>
      </c>
      <c r="P28" s="17" t="s">
        <v>106</v>
      </c>
      <c r="Q28" s="17" t="s">
        <v>718</v>
      </c>
      <c r="R28" s="17" t="s">
        <v>719</v>
      </c>
    </row>
    <row r="29" spans="2:18" x14ac:dyDescent="0.35">
      <c r="B29" s="18" t="s">
        <v>107</v>
      </c>
      <c r="C29" s="18" t="s">
        <v>107</v>
      </c>
      <c r="D29" s="18" t="s">
        <v>107</v>
      </c>
      <c r="E29" s="18" t="s">
        <v>126</v>
      </c>
      <c r="F29" s="18" t="s">
        <v>139</v>
      </c>
      <c r="G29" s="18">
        <v>32</v>
      </c>
      <c r="H29" s="18" t="s">
        <v>127</v>
      </c>
      <c r="I29" s="18" t="s">
        <v>145</v>
      </c>
      <c r="J29" s="18" t="s">
        <v>16</v>
      </c>
      <c r="K29" s="18" t="s">
        <v>17</v>
      </c>
      <c r="L29" s="18" t="s">
        <v>18</v>
      </c>
      <c r="M29" s="18" t="s">
        <v>25</v>
      </c>
      <c r="N29" s="18" t="s">
        <v>26</v>
      </c>
      <c r="O29" s="18" t="s">
        <v>108</v>
      </c>
      <c r="P29" s="18" t="s">
        <v>109</v>
      </c>
      <c r="Q29" s="18" t="s">
        <v>721</v>
      </c>
      <c r="R29" s="18" t="s">
        <v>719</v>
      </c>
    </row>
    <row r="30" spans="2:18" x14ac:dyDescent="0.35">
      <c r="B30" s="17" t="s">
        <v>110</v>
      </c>
      <c r="C30" s="17" t="s">
        <v>669</v>
      </c>
      <c r="D30" s="17" t="s">
        <v>671</v>
      </c>
      <c r="E30" s="17" t="s">
        <v>126</v>
      </c>
      <c r="F30" s="17" t="s">
        <v>124</v>
      </c>
      <c r="G30" s="17">
        <v>44</v>
      </c>
      <c r="H30" s="17" t="s">
        <v>127</v>
      </c>
      <c r="I30" s="17" t="s">
        <v>145</v>
      </c>
      <c r="J30" s="17" t="s">
        <v>16</v>
      </c>
      <c r="K30" s="17" t="s">
        <v>10</v>
      </c>
      <c r="L30" s="17" t="s">
        <v>10</v>
      </c>
      <c r="M30" s="17" t="s">
        <v>19</v>
      </c>
      <c r="N30" s="17" t="s">
        <v>111</v>
      </c>
      <c r="O30" s="17" t="s">
        <v>112</v>
      </c>
      <c r="P30" s="17" t="s">
        <v>113</v>
      </c>
      <c r="Q30" s="17" t="s">
        <v>720</v>
      </c>
      <c r="R30" s="17" t="s">
        <v>719</v>
      </c>
    </row>
    <row r="31" spans="2:18" x14ac:dyDescent="0.35">
      <c r="B31" s="18" t="s">
        <v>114</v>
      </c>
      <c r="C31" s="18" t="s">
        <v>114</v>
      </c>
      <c r="D31" s="18" t="s">
        <v>114</v>
      </c>
      <c r="E31" s="18" t="s">
        <v>150</v>
      </c>
      <c r="F31" s="18" t="s">
        <v>124</v>
      </c>
      <c r="G31" s="18">
        <v>69</v>
      </c>
      <c r="H31" s="18" t="s">
        <v>127</v>
      </c>
      <c r="I31" s="18" t="s">
        <v>145</v>
      </c>
      <c r="J31" s="18" t="s">
        <v>16</v>
      </c>
      <c r="K31" s="18" t="s">
        <v>34</v>
      </c>
      <c r="L31" s="18" t="s">
        <v>18</v>
      </c>
      <c r="M31" s="18" t="s">
        <v>19</v>
      </c>
      <c r="N31" s="18" t="s">
        <v>20</v>
      </c>
      <c r="O31" s="18" t="s">
        <v>115</v>
      </c>
      <c r="P31" s="18" t="s">
        <v>116</v>
      </c>
      <c r="Q31" s="18" t="s">
        <v>722</v>
      </c>
      <c r="R31" s="18" t="s">
        <v>723</v>
      </c>
    </row>
    <row r="32" spans="2:18" x14ac:dyDescent="0.35">
      <c r="B32" s="17" t="s">
        <v>117</v>
      </c>
      <c r="C32" s="17" t="s">
        <v>670</v>
      </c>
      <c r="D32" s="17" t="s">
        <v>674</v>
      </c>
      <c r="E32" s="17" t="s">
        <v>126</v>
      </c>
      <c r="F32" s="17" t="s">
        <v>124</v>
      </c>
      <c r="G32" s="17">
        <v>57</v>
      </c>
      <c r="H32" s="17" t="s">
        <v>132</v>
      </c>
      <c r="I32" s="17" t="s">
        <v>145</v>
      </c>
      <c r="J32" s="17" t="s">
        <v>16</v>
      </c>
      <c r="K32" s="17" t="s">
        <v>89</v>
      </c>
      <c r="L32" s="17" t="s">
        <v>18</v>
      </c>
      <c r="M32" s="17" t="s">
        <v>19</v>
      </c>
      <c r="N32" s="17" t="s">
        <v>118</v>
      </c>
      <c r="O32" s="17" t="s">
        <v>119</v>
      </c>
      <c r="P32" s="17" t="s">
        <v>120</v>
      </c>
      <c r="Q32" s="17" t="s">
        <v>718</v>
      </c>
      <c r="R32" s="17" t="s">
        <v>719</v>
      </c>
    </row>
    <row r="33" spans="2:18" x14ac:dyDescent="0.35">
      <c r="B33" s="18" t="s">
        <v>123</v>
      </c>
      <c r="C33" s="18" t="s">
        <v>121</v>
      </c>
      <c r="D33" s="18" t="s">
        <v>122</v>
      </c>
      <c r="E33" s="18" t="s">
        <v>126</v>
      </c>
      <c r="F33" s="18" t="s">
        <v>124</v>
      </c>
      <c r="G33" s="18">
        <v>57</v>
      </c>
      <c r="H33" s="18" t="s">
        <v>127</v>
      </c>
      <c r="I33" s="18" t="s">
        <v>125</v>
      </c>
      <c r="J33" s="18" t="s">
        <v>16</v>
      </c>
      <c r="K33" s="18" t="s">
        <v>10</v>
      </c>
      <c r="L33" s="18" t="s">
        <v>10</v>
      </c>
      <c r="M33" s="18" t="s">
        <v>25</v>
      </c>
      <c r="N33" s="18" t="s">
        <v>26</v>
      </c>
      <c r="O33" s="18" t="s">
        <v>128</v>
      </c>
      <c r="P33" s="18" t="s">
        <v>129</v>
      </c>
      <c r="Q33" s="18" t="s">
        <v>718</v>
      </c>
      <c r="R33" s="18" t="s">
        <v>719</v>
      </c>
    </row>
    <row r="34" spans="2:18" x14ac:dyDescent="0.35">
      <c r="B34" s="17" t="s">
        <v>131</v>
      </c>
      <c r="C34" s="17" t="s">
        <v>130</v>
      </c>
      <c r="D34" s="17" t="s">
        <v>686</v>
      </c>
      <c r="E34" s="17" t="s">
        <v>126</v>
      </c>
      <c r="F34" s="17" t="s">
        <v>124</v>
      </c>
      <c r="G34" s="17">
        <v>47</v>
      </c>
      <c r="H34" s="17" t="s">
        <v>127</v>
      </c>
      <c r="I34" s="17" t="s">
        <v>125</v>
      </c>
      <c r="J34" s="17" t="s">
        <v>16</v>
      </c>
      <c r="K34" s="17" t="s">
        <v>10</v>
      </c>
      <c r="L34" s="17" t="s">
        <v>10</v>
      </c>
      <c r="M34" s="17" t="s">
        <v>19</v>
      </c>
      <c r="N34" s="17" t="s">
        <v>118</v>
      </c>
      <c r="O34" s="17" t="s">
        <v>133</v>
      </c>
      <c r="P34" s="17" t="s">
        <v>134</v>
      </c>
      <c r="Q34" s="17" t="s">
        <v>720</v>
      </c>
      <c r="R34" s="17" t="s">
        <v>719</v>
      </c>
    </row>
    <row r="35" spans="2:18" x14ac:dyDescent="0.35">
      <c r="B35" s="18" t="s">
        <v>138</v>
      </c>
      <c r="C35" s="18" t="s">
        <v>135</v>
      </c>
      <c r="D35" s="18" t="s">
        <v>137</v>
      </c>
      <c r="E35" s="18" t="s">
        <v>126</v>
      </c>
      <c r="F35" s="18" t="s">
        <v>124</v>
      </c>
      <c r="G35" s="18">
        <v>30</v>
      </c>
      <c r="H35" s="18" t="s">
        <v>127</v>
      </c>
      <c r="I35" s="18" t="s">
        <v>125</v>
      </c>
      <c r="J35" s="18" t="s">
        <v>16</v>
      </c>
      <c r="K35" s="18" t="s">
        <v>34</v>
      </c>
      <c r="L35" s="18" t="s">
        <v>18</v>
      </c>
      <c r="M35" s="18" t="s">
        <v>19</v>
      </c>
      <c r="N35" s="18" t="s">
        <v>20</v>
      </c>
      <c r="O35" s="18" t="s">
        <v>140</v>
      </c>
      <c r="P35" s="18" t="s">
        <v>141</v>
      </c>
      <c r="Q35" s="18" t="s">
        <v>724</v>
      </c>
      <c r="R35" s="18" t="s">
        <v>719</v>
      </c>
    </row>
    <row r="36" spans="2:18" x14ac:dyDescent="0.35">
      <c r="B36" s="17" t="s">
        <v>144</v>
      </c>
      <c r="C36" s="17" t="s">
        <v>142</v>
      </c>
      <c r="D36" s="17" t="s">
        <v>143</v>
      </c>
      <c r="E36" s="17" t="s">
        <v>150</v>
      </c>
      <c r="F36" s="17" t="s">
        <v>124</v>
      </c>
      <c r="G36" s="17">
        <v>26</v>
      </c>
      <c r="H36" s="17" t="s">
        <v>127</v>
      </c>
      <c r="I36" s="17" t="s">
        <v>125</v>
      </c>
      <c r="J36" s="17" t="s">
        <v>16</v>
      </c>
      <c r="K36" s="17" t="s">
        <v>10</v>
      </c>
      <c r="L36" s="17" t="s">
        <v>10</v>
      </c>
      <c r="M36" s="17" t="s">
        <v>19</v>
      </c>
      <c r="N36" s="17" t="s">
        <v>47</v>
      </c>
      <c r="O36" s="17" t="s">
        <v>146</v>
      </c>
      <c r="P36" s="17" t="s">
        <v>147</v>
      </c>
      <c r="Q36" s="17" t="s">
        <v>724</v>
      </c>
      <c r="R36" s="17" t="s">
        <v>719</v>
      </c>
    </row>
    <row r="37" spans="2:18" x14ac:dyDescent="0.35">
      <c r="B37" s="18" t="s">
        <v>148</v>
      </c>
      <c r="C37" s="18" t="s">
        <v>675</v>
      </c>
      <c r="D37" s="18" t="s">
        <v>687</v>
      </c>
      <c r="E37" s="18" t="s">
        <v>150</v>
      </c>
      <c r="F37" s="18" t="s">
        <v>124</v>
      </c>
      <c r="G37" s="18">
        <v>50</v>
      </c>
      <c r="H37" s="18" t="s">
        <v>127</v>
      </c>
      <c r="I37" s="18" t="s">
        <v>149</v>
      </c>
      <c r="J37" s="18" t="s">
        <v>16</v>
      </c>
      <c r="K37" s="18" t="s">
        <v>89</v>
      </c>
      <c r="L37" s="18" t="s">
        <v>18</v>
      </c>
      <c r="M37" s="18" t="s">
        <v>19</v>
      </c>
      <c r="N37" s="18" t="s">
        <v>151</v>
      </c>
      <c r="O37" s="18" t="s">
        <v>152</v>
      </c>
      <c r="P37" s="18" t="s">
        <v>153</v>
      </c>
      <c r="Q37" s="18" t="s">
        <v>720</v>
      </c>
      <c r="R37" s="18" t="s">
        <v>719</v>
      </c>
    </row>
    <row r="38" spans="2:18" x14ac:dyDescent="0.35">
      <c r="B38" s="17" t="s">
        <v>156</v>
      </c>
      <c r="C38" s="17" t="s">
        <v>154</v>
      </c>
      <c r="D38" s="17" t="s">
        <v>155</v>
      </c>
      <c r="E38" s="17" t="s">
        <v>150</v>
      </c>
      <c r="F38" s="17" t="s">
        <v>124</v>
      </c>
      <c r="G38" s="17">
        <v>41</v>
      </c>
      <c r="H38" s="17" t="s">
        <v>127</v>
      </c>
      <c r="I38" s="17" t="s">
        <v>125</v>
      </c>
      <c r="J38" s="17" t="s">
        <v>16</v>
      </c>
      <c r="K38" s="17" t="s">
        <v>17</v>
      </c>
      <c r="L38" s="17" t="s">
        <v>18</v>
      </c>
      <c r="M38" s="17" t="s">
        <v>19</v>
      </c>
      <c r="N38" s="17" t="s">
        <v>47</v>
      </c>
      <c r="O38" s="17" t="s">
        <v>157</v>
      </c>
      <c r="P38" s="17" t="s">
        <v>158</v>
      </c>
      <c r="Q38" s="17" t="s">
        <v>721</v>
      </c>
      <c r="R38" s="17" t="s">
        <v>719</v>
      </c>
    </row>
    <row r="39" spans="2:18" x14ac:dyDescent="0.35">
      <c r="B39" s="18" t="s">
        <v>161</v>
      </c>
      <c r="C39" s="18" t="s">
        <v>159</v>
      </c>
      <c r="D39" s="18" t="s">
        <v>160</v>
      </c>
      <c r="E39" s="18" t="s">
        <v>150</v>
      </c>
      <c r="F39" s="18" t="s">
        <v>124</v>
      </c>
      <c r="G39" s="18">
        <v>58</v>
      </c>
      <c r="H39" s="18" t="s">
        <v>127</v>
      </c>
      <c r="I39" s="18" t="s">
        <v>125</v>
      </c>
      <c r="J39" s="18" t="s">
        <v>16</v>
      </c>
      <c r="K39" s="18" t="s">
        <v>17</v>
      </c>
      <c r="L39" s="18" t="s">
        <v>18</v>
      </c>
      <c r="M39" s="18" t="s">
        <v>25</v>
      </c>
      <c r="N39" s="18" t="s">
        <v>26</v>
      </c>
      <c r="O39" s="18" t="s">
        <v>162</v>
      </c>
      <c r="P39" s="18" t="s">
        <v>163</v>
      </c>
      <c r="Q39" s="18" t="s">
        <v>718</v>
      </c>
      <c r="R39" s="18" t="s">
        <v>719</v>
      </c>
    </row>
    <row r="40" spans="2:18" x14ac:dyDescent="0.35">
      <c r="B40" s="17" t="s">
        <v>167</v>
      </c>
      <c r="C40" s="17" t="s">
        <v>164</v>
      </c>
      <c r="D40" s="17" t="s">
        <v>166</v>
      </c>
      <c r="E40" s="17" t="s">
        <v>126</v>
      </c>
      <c r="F40" s="17" t="s">
        <v>124</v>
      </c>
      <c r="G40" s="17">
        <v>40</v>
      </c>
      <c r="H40" s="17" t="s">
        <v>127</v>
      </c>
      <c r="I40" s="17" t="s">
        <v>145</v>
      </c>
      <c r="J40" s="17" t="s">
        <v>16</v>
      </c>
      <c r="K40" s="17" t="s">
        <v>10</v>
      </c>
      <c r="L40" s="17" t="s">
        <v>10</v>
      </c>
      <c r="M40" s="17" t="s">
        <v>25</v>
      </c>
      <c r="N40" s="17" t="s">
        <v>168</v>
      </c>
      <c r="O40" s="17" t="s">
        <v>169</v>
      </c>
      <c r="P40" s="17" t="s">
        <v>170</v>
      </c>
      <c r="Q40" s="17" t="s">
        <v>721</v>
      </c>
      <c r="R40" s="17" t="s">
        <v>719</v>
      </c>
    </row>
    <row r="41" spans="2:18" x14ac:dyDescent="0.35">
      <c r="B41" s="18" t="s">
        <v>174</v>
      </c>
      <c r="C41" s="18" t="s">
        <v>171</v>
      </c>
      <c r="D41" s="18" t="s">
        <v>173</v>
      </c>
      <c r="E41" s="18" t="s">
        <v>126</v>
      </c>
      <c r="F41" s="18" t="s">
        <v>124</v>
      </c>
      <c r="G41" s="18">
        <v>46</v>
      </c>
      <c r="H41" s="18" t="s">
        <v>132</v>
      </c>
      <c r="I41" s="18" t="s">
        <v>125</v>
      </c>
      <c r="J41" s="18" t="s">
        <v>33</v>
      </c>
      <c r="K41" s="18" t="s">
        <v>34</v>
      </c>
      <c r="L41" s="18" t="s">
        <v>18</v>
      </c>
      <c r="M41" s="18" t="s">
        <v>11</v>
      </c>
      <c r="N41" s="18" t="s">
        <v>35</v>
      </c>
      <c r="O41" s="18" t="s">
        <v>175</v>
      </c>
      <c r="P41" s="18" t="s">
        <v>176</v>
      </c>
      <c r="Q41" s="18" t="s">
        <v>720</v>
      </c>
      <c r="R41" s="18" t="s">
        <v>719</v>
      </c>
    </row>
    <row r="42" spans="2:18" x14ac:dyDescent="0.35">
      <c r="B42" s="17" t="s">
        <v>179</v>
      </c>
      <c r="C42" s="17" t="s">
        <v>177</v>
      </c>
      <c r="D42" s="17" t="s">
        <v>178</v>
      </c>
      <c r="E42" s="17" t="s">
        <v>126</v>
      </c>
      <c r="F42" s="17" t="s">
        <v>124</v>
      </c>
      <c r="G42" s="17">
        <v>57</v>
      </c>
      <c r="H42" s="17" t="s">
        <v>127</v>
      </c>
      <c r="I42" s="17" t="s">
        <v>125</v>
      </c>
      <c r="J42" s="17" t="s">
        <v>39</v>
      </c>
      <c r="K42" s="17" t="s">
        <v>89</v>
      </c>
      <c r="L42" s="17" t="s">
        <v>18</v>
      </c>
      <c r="M42" s="17" t="s">
        <v>11</v>
      </c>
      <c r="N42" s="17" t="s">
        <v>12</v>
      </c>
      <c r="O42" s="17" t="s">
        <v>180</v>
      </c>
      <c r="P42" s="17" t="s">
        <v>181</v>
      </c>
      <c r="Q42" s="17" t="s">
        <v>718</v>
      </c>
      <c r="R42" s="17" t="s">
        <v>719</v>
      </c>
    </row>
    <row r="43" spans="2:18" x14ac:dyDescent="0.35">
      <c r="B43" s="18" t="s">
        <v>184</v>
      </c>
      <c r="C43" s="18" t="s">
        <v>182</v>
      </c>
      <c r="D43" s="18" t="s">
        <v>183</v>
      </c>
      <c r="E43" s="18" t="s">
        <v>126</v>
      </c>
      <c r="F43" s="18" t="s">
        <v>139</v>
      </c>
      <c r="G43" s="18">
        <v>25</v>
      </c>
      <c r="H43" s="18" t="s">
        <v>127</v>
      </c>
      <c r="I43" s="18" t="s">
        <v>149</v>
      </c>
      <c r="J43" s="18" t="s">
        <v>185</v>
      </c>
      <c r="K43" s="18" t="s">
        <v>10</v>
      </c>
      <c r="L43" s="18" t="s">
        <v>10</v>
      </c>
      <c r="M43" s="18" t="s">
        <v>19</v>
      </c>
      <c r="N43" s="18" t="s">
        <v>35</v>
      </c>
      <c r="O43" s="18" t="s">
        <v>186</v>
      </c>
      <c r="P43" s="18" t="s">
        <v>187</v>
      </c>
      <c r="Q43" s="18" t="s">
        <v>724</v>
      </c>
      <c r="R43" s="18" t="s">
        <v>719</v>
      </c>
    </row>
    <row r="44" spans="2:18" x14ac:dyDescent="0.35">
      <c r="B44" s="17" t="s">
        <v>190</v>
      </c>
      <c r="C44" s="17" t="s">
        <v>188</v>
      </c>
      <c r="D44" s="17" t="s">
        <v>189</v>
      </c>
      <c r="E44" s="17" t="s">
        <v>150</v>
      </c>
      <c r="F44" s="17" t="s">
        <v>124</v>
      </c>
      <c r="G44" s="17">
        <v>47</v>
      </c>
      <c r="H44" s="17" t="s">
        <v>127</v>
      </c>
      <c r="I44" s="17" t="s">
        <v>125</v>
      </c>
      <c r="J44" s="17" t="s">
        <v>8</v>
      </c>
      <c r="K44" s="17" t="s">
        <v>9</v>
      </c>
      <c r="L44" s="17" t="s">
        <v>10</v>
      </c>
      <c r="M44" s="17" t="s">
        <v>11</v>
      </c>
      <c r="N44" s="17" t="s">
        <v>35</v>
      </c>
      <c r="O44" s="17" t="s">
        <v>191</v>
      </c>
      <c r="P44" s="17" t="s">
        <v>192</v>
      </c>
      <c r="Q44" s="17" t="s">
        <v>720</v>
      </c>
      <c r="R44" s="17" t="s">
        <v>719</v>
      </c>
    </row>
    <row r="45" spans="2:18" x14ac:dyDescent="0.35">
      <c r="B45" s="18" t="s">
        <v>195</v>
      </c>
      <c r="C45" s="18" t="s">
        <v>193</v>
      </c>
      <c r="D45" s="18" t="s">
        <v>194</v>
      </c>
      <c r="E45" s="18" t="s">
        <v>126</v>
      </c>
      <c r="F45" s="18" t="s">
        <v>124</v>
      </c>
      <c r="G45" s="18">
        <v>69</v>
      </c>
      <c r="H45" s="18" t="s">
        <v>127</v>
      </c>
      <c r="I45" s="18" t="s">
        <v>145</v>
      </c>
      <c r="J45" s="18" t="s">
        <v>62</v>
      </c>
      <c r="K45" s="18" t="s">
        <v>17</v>
      </c>
      <c r="L45" s="18" t="s">
        <v>18</v>
      </c>
      <c r="M45" s="18" t="s">
        <v>19</v>
      </c>
      <c r="N45" s="18" t="s">
        <v>12</v>
      </c>
      <c r="O45" s="18" t="s">
        <v>196</v>
      </c>
      <c r="P45" s="18" t="s">
        <v>197</v>
      </c>
      <c r="Q45" s="18" t="s">
        <v>722</v>
      </c>
      <c r="R45" s="18" t="s">
        <v>723</v>
      </c>
    </row>
    <row r="46" spans="2:18" x14ac:dyDescent="0.35">
      <c r="B46" s="17" t="s">
        <v>200</v>
      </c>
      <c r="C46" s="17" t="s">
        <v>198</v>
      </c>
      <c r="D46" s="17" t="s">
        <v>199</v>
      </c>
      <c r="E46" s="17" t="s">
        <v>126</v>
      </c>
      <c r="F46" s="17" t="s">
        <v>139</v>
      </c>
      <c r="G46" s="17">
        <v>37</v>
      </c>
      <c r="H46" s="17" t="s">
        <v>127</v>
      </c>
      <c r="I46" s="17" t="s">
        <v>145</v>
      </c>
      <c r="J46" s="17" t="s">
        <v>43</v>
      </c>
      <c r="K46" s="17" t="s">
        <v>17</v>
      </c>
      <c r="L46" s="17" t="s">
        <v>18</v>
      </c>
      <c r="M46" s="17" t="s">
        <v>11</v>
      </c>
      <c r="N46" s="17" t="s">
        <v>35</v>
      </c>
      <c r="O46" s="17" t="s">
        <v>201</v>
      </c>
      <c r="P46" s="17" t="s">
        <v>202</v>
      </c>
      <c r="Q46" s="17" t="s">
        <v>721</v>
      </c>
      <c r="R46" s="17" t="s">
        <v>719</v>
      </c>
    </row>
    <row r="47" spans="2:18" x14ac:dyDescent="0.35">
      <c r="B47" s="18" t="s">
        <v>204</v>
      </c>
      <c r="C47" s="18" t="s">
        <v>203</v>
      </c>
      <c r="D47" s="18" t="s">
        <v>688</v>
      </c>
      <c r="E47" s="18" t="s">
        <v>126</v>
      </c>
      <c r="F47" s="18" t="s">
        <v>124</v>
      </c>
      <c r="G47" s="18">
        <v>46</v>
      </c>
      <c r="H47" s="18" t="s">
        <v>127</v>
      </c>
      <c r="I47" s="18" t="s">
        <v>125</v>
      </c>
      <c r="J47" s="18" t="s">
        <v>205</v>
      </c>
      <c r="K47" s="18" t="s">
        <v>89</v>
      </c>
      <c r="L47" s="18" t="s">
        <v>18</v>
      </c>
      <c r="M47" s="18" t="s">
        <v>19</v>
      </c>
      <c r="N47" s="18" t="s">
        <v>206</v>
      </c>
      <c r="O47" s="18" t="s">
        <v>207</v>
      </c>
      <c r="P47" s="18" t="s">
        <v>208</v>
      </c>
      <c r="Q47" s="18" t="s">
        <v>720</v>
      </c>
      <c r="R47" s="18" t="s">
        <v>719</v>
      </c>
    </row>
    <row r="48" spans="2:18" x14ac:dyDescent="0.35">
      <c r="B48" s="17" t="s">
        <v>210</v>
      </c>
      <c r="C48" s="17" t="s">
        <v>209</v>
      </c>
      <c r="D48" s="17" t="s">
        <v>172</v>
      </c>
      <c r="E48" s="17" t="s">
        <v>150</v>
      </c>
      <c r="F48" s="17" t="s">
        <v>139</v>
      </c>
      <c r="G48" s="17">
        <v>50</v>
      </c>
      <c r="H48" s="17" t="s">
        <v>127</v>
      </c>
      <c r="I48" s="17" t="s">
        <v>149</v>
      </c>
      <c r="J48" s="17" t="s">
        <v>62</v>
      </c>
      <c r="K48" s="17" t="s">
        <v>34</v>
      </c>
      <c r="L48" s="17" t="s">
        <v>18</v>
      </c>
      <c r="M48" s="17" t="s">
        <v>19</v>
      </c>
      <c r="N48" s="17" t="s">
        <v>12</v>
      </c>
      <c r="O48" s="17" t="s">
        <v>211</v>
      </c>
      <c r="P48" s="17" t="s">
        <v>212</v>
      </c>
      <c r="Q48" s="17" t="s">
        <v>720</v>
      </c>
      <c r="R48" s="17" t="s">
        <v>719</v>
      </c>
    </row>
    <row r="49" spans="2:18" x14ac:dyDescent="0.35">
      <c r="B49" s="18" t="s">
        <v>215</v>
      </c>
      <c r="C49" s="18" t="s">
        <v>213</v>
      </c>
      <c r="D49" s="18" t="s">
        <v>214</v>
      </c>
      <c r="E49" s="18" t="s">
        <v>150</v>
      </c>
      <c r="F49" s="18" t="s">
        <v>124</v>
      </c>
      <c r="G49" s="18">
        <v>46</v>
      </c>
      <c r="H49" s="18" t="s">
        <v>127</v>
      </c>
      <c r="I49" s="18" t="s">
        <v>125</v>
      </c>
      <c r="J49" s="18" t="s">
        <v>62</v>
      </c>
      <c r="K49" s="18" t="s">
        <v>24</v>
      </c>
      <c r="L49" s="18" t="s">
        <v>18</v>
      </c>
      <c r="M49" s="18" t="s">
        <v>25</v>
      </c>
      <c r="N49" s="18" t="s">
        <v>35</v>
      </c>
      <c r="O49" s="18" t="s">
        <v>216</v>
      </c>
      <c r="P49" s="18" t="s">
        <v>217</v>
      </c>
      <c r="Q49" s="18" t="s">
        <v>720</v>
      </c>
      <c r="R49" s="18" t="s">
        <v>719</v>
      </c>
    </row>
    <row r="50" spans="2:18" x14ac:dyDescent="0.35">
      <c r="B50" s="17" t="s">
        <v>220</v>
      </c>
      <c r="C50" s="17" t="s">
        <v>218</v>
      </c>
      <c r="D50" s="17" t="s">
        <v>219</v>
      </c>
      <c r="E50" s="17" t="s">
        <v>150</v>
      </c>
      <c r="F50" s="17" t="s">
        <v>139</v>
      </c>
      <c r="G50" s="17">
        <v>65</v>
      </c>
      <c r="H50" s="17" t="s">
        <v>127</v>
      </c>
      <c r="I50" s="17" t="s">
        <v>145</v>
      </c>
      <c r="J50" s="17" t="s">
        <v>185</v>
      </c>
      <c r="K50" s="17" t="s">
        <v>17</v>
      </c>
      <c r="L50" s="17" t="s">
        <v>18</v>
      </c>
      <c r="M50" s="17" t="s">
        <v>25</v>
      </c>
      <c r="N50" s="17" t="s">
        <v>12</v>
      </c>
      <c r="O50" s="17" t="s">
        <v>221</v>
      </c>
      <c r="P50" s="17" t="s">
        <v>222</v>
      </c>
      <c r="Q50" s="17" t="s">
        <v>722</v>
      </c>
      <c r="R50" s="17" t="s">
        <v>723</v>
      </c>
    </row>
    <row r="51" spans="2:18" x14ac:dyDescent="0.35">
      <c r="B51" s="18" t="s">
        <v>224</v>
      </c>
      <c r="C51" s="18" t="s">
        <v>223</v>
      </c>
      <c r="D51" s="18" t="s">
        <v>689</v>
      </c>
      <c r="E51" s="18" t="s">
        <v>150</v>
      </c>
      <c r="F51" s="18" t="s">
        <v>124</v>
      </c>
      <c r="G51" s="18">
        <v>32</v>
      </c>
      <c r="H51" s="18" t="s">
        <v>127</v>
      </c>
      <c r="I51" s="18" t="s">
        <v>125</v>
      </c>
      <c r="J51" s="18" t="s">
        <v>62</v>
      </c>
      <c r="K51" s="18" t="s">
        <v>24</v>
      </c>
      <c r="L51" s="18" t="s">
        <v>18</v>
      </c>
      <c r="M51" s="18" t="s">
        <v>19</v>
      </c>
      <c r="N51" s="18" t="s">
        <v>12</v>
      </c>
      <c r="O51" s="18" t="s">
        <v>225</v>
      </c>
      <c r="P51" s="18" t="s">
        <v>226</v>
      </c>
      <c r="Q51" s="18" t="s">
        <v>721</v>
      </c>
      <c r="R51" s="18" t="s">
        <v>719</v>
      </c>
    </row>
    <row r="52" spans="2:18" x14ac:dyDescent="0.35">
      <c r="B52" s="17" t="s">
        <v>228</v>
      </c>
      <c r="C52" s="17" t="s">
        <v>227</v>
      </c>
      <c r="D52" s="17" t="s">
        <v>690</v>
      </c>
      <c r="E52" s="17" t="s">
        <v>126</v>
      </c>
      <c r="F52" s="17" t="s">
        <v>124</v>
      </c>
      <c r="G52" s="17">
        <v>64</v>
      </c>
      <c r="H52" s="17" t="s">
        <v>127</v>
      </c>
      <c r="I52" s="17" t="s">
        <v>125</v>
      </c>
      <c r="J52" s="17" t="s">
        <v>62</v>
      </c>
      <c r="K52" s="17" t="s">
        <v>10</v>
      </c>
      <c r="L52" s="17" t="s">
        <v>10</v>
      </c>
      <c r="M52" s="17" t="s">
        <v>19</v>
      </c>
      <c r="N52" s="17" t="s">
        <v>12</v>
      </c>
      <c r="O52" s="17" t="s">
        <v>229</v>
      </c>
      <c r="P52" s="17" t="s">
        <v>230</v>
      </c>
      <c r="Q52" s="17" t="s">
        <v>722</v>
      </c>
      <c r="R52" s="17" t="s">
        <v>723</v>
      </c>
    </row>
    <row r="53" spans="2:18" x14ac:dyDescent="0.35">
      <c r="B53" s="18" t="s">
        <v>234</v>
      </c>
      <c r="C53" s="18" t="s">
        <v>231</v>
      </c>
      <c r="D53" s="18" t="s">
        <v>233</v>
      </c>
      <c r="E53" s="18" t="s">
        <v>508</v>
      </c>
      <c r="F53" s="18" t="s">
        <v>124</v>
      </c>
      <c r="G53" s="18">
        <v>66</v>
      </c>
      <c r="H53" s="18" t="s">
        <v>132</v>
      </c>
      <c r="I53" s="18" t="s">
        <v>125</v>
      </c>
      <c r="J53" s="18" t="s">
        <v>62</v>
      </c>
      <c r="K53" s="18" t="s">
        <v>85</v>
      </c>
      <c r="L53" s="18" t="s">
        <v>18</v>
      </c>
      <c r="M53" s="18" t="s">
        <v>25</v>
      </c>
      <c r="N53" s="18" t="s">
        <v>35</v>
      </c>
      <c r="O53" s="18" t="s">
        <v>235</v>
      </c>
      <c r="P53" s="18" t="s">
        <v>236</v>
      </c>
      <c r="Q53" s="18" t="s">
        <v>722</v>
      </c>
      <c r="R53" s="18" t="s">
        <v>723</v>
      </c>
    </row>
    <row r="54" spans="2:18" x14ac:dyDescent="0.35">
      <c r="B54" s="17" t="s">
        <v>239</v>
      </c>
      <c r="C54" s="17" t="s">
        <v>237</v>
      </c>
      <c r="D54" s="17" t="s">
        <v>238</v>
      </c>
      <c r="E54" s="17" t="s">
        <v>126</v>
      </c>
      <c r="F54" s="17" t="s">
        <v>124</v>
      </c>
      <c r="G54" s="17">
        <v>58</v>
      </c>
      <c r="H54" s="17" t="s">
        <v>127</v>
      </c>
      <c r="I54" s="17" t="s">
        <v>125</v>
      </c>
      <c r="J54" s="17" t="s">
        <v>16</v>
      </c>
      <c r="K54" s="17" t="s">
        <v>89</v>
      </c>
      <c r="L54" s="17" t="s">
        <v>18</v>
      </c>
      <c r="M54" s="17" t="s">
        <v>25</v>
      </c>
      <c r="N54" s="17" t="s">
        <v>168</v>
      </c>
      <c r="O54" s="17" t="s">
        <v>240</v>
      </c>
      <c r="P54" s="17" t="s">
        <v>241</v>
      </c>
      <c r="Q54" s="17" t="s">
        <v>718</v>
      </c>
      <c r="R54" s="17" t="s">
        <v>719</v>
      </c>
    </row>
    <row r="55" spans="2:18" x14ac:dyDescent="0.35">
      <c r="B55" s="18" t="s">
        <v>244</v>
      </c>
      <c r="C55" s="18" t="s">
        <v>242</v>
      </c>
      <c r="D55" s="18" t="s">
        <v>691</v>
      </c>
      <c r="E55" s="18" t="s">
        <v>126</v>
      </c>
      <c r="F55" s="18" t="s">
        <v>139</v>
      </c>
      <c r="G55" s="18">
        <v>62</v>
      </c>
      <c r="H55" s="18" t="s">
        <v>127</v>
      </c>
      <c r="I55" s="18" t="s">
        <v>145</v>
      </c>
      <c r="J55" s="18" t="s">
        <v>16</v>
      </c>
      <c r="K55" s="18" t="s">
        <v>89</v>
      </c>
      <c r="L55" s="18" t="s">
        <v>18</v>
      </c>
      <c r="M55" s="18" t="s">
        <v>25</v>
      </c>
      <c r="N55" s="18" t="s">
        <v>245</v>
      </c>
      <c r="O55" s="18" t="s">
        <v>246</v>
      </c>
      <c r="P55" s="18" t="s">
        <v>247</v>
      </c>
      <c r="Q55" s="18" t="s">
        <v>718</v>
      </c>
      <c r="R55" s="18" t="s">
        <v>719</v>
      </c>
    </row>
    <row r="56" spans="2:18" x14ac:dyDescent="0.35">
      <c r="B56" s="17" t="s">
        <v>250</v>
      </c>
      <c r="C56" s="17" t="s">
        <v>248</v>
      </c>
      <c r="D56" s="17" t="s">
        <v>249</v>
      </c>
      <c r="E56" s="17" t="s">
        <v>150</v>
      </c>
      <c r="F56" s="17" t="s">
        <v>124</v>
      </c>
      <c r="G56" s="17">
        <v>41</v>
      </c>
      <c r="H56" s="17" t="s">
        <v>127</v>
      </c>
      <c r="I56" s="17" t="s">
        <v>149</v>
      </c>
      <c r="J56" s="17" t="s">
        <v>16</v>
      </c>
      <c r="K56" s="17" t="s">
        <v>34</v>
      </c>
      <c r="L56" s="17" t="s">
        <v>18</v>
      </c>
      <c r="M56" s="17" t="s">
        <v>25</v>
      </c>
      <c r="N56" s="17" t="s">
        <v>26</v>
      </c>
      <c r="O56" s="17" t="s">
        <v>251</v>
      </c>
      <c r="P56" s="17" t="s">
        <v>252</v>
      </c>
      <c r="Q56" s="17" t="s">
        <v>721</v>
      </c>
      <c r="R56" s="17" t="s">
        <v>719</v>
      </c>
    </row>
    <row r="57" spans="2:18" x14ac:dyDescent="0.35">
      <c r="B57" s="18" t="s">
        <v>254</v>
      </c>
      <c r="C57" s="18" t="s">
        <v>676</v>
      </c>
      <c r="D57" s="18" t="s">
        <v>243</v>
      </c>
      <c r="E57" s="18" t="s">
        <v>126</v>
      </c>
      <c r="F57" s="18" t="s">
        <v>124</v>
      </c>
      <c r="G57" s="18">
        <v>34</v>
      </c>
      <c r="H57" s="18" t="s">
        <v>127</v>
      </c>
      <c r="I57" s="18" t="s">
        <v>125</v>
      </c>
      <c r="J57" s="18" t="s">
        <v>62</v>
      </c>
      <c r="K57" s="18" t="s">
        <v>24</v>
      </c>
      <c r="L57" s="18" t="s">
        <v>18</v>
      </c>
      <c r="M57" s="18" t="s">
        <v>19</v>
      </c>
      <c r="N57" s="18" t="s">
        <v>12</v>
      </c>
      <c r="O57" s="18" t="s">
        <v>255</v>
      </c>
      <c r="P57" s="18" t="s">
        <v>256</v>
      </c>
      <c r="Q57" s="18" t="s">
        <v>721</v>
      </c>
      <c r="R57" s="18" t="s">
        <v>719</v>
      </c>
    </row>
    <row r="58" spans="2:18" x14ac:dyDescent="0.35">
      <c r="B58" s="17" t="s">
        <v>259</v>
      </c>
      <c r="C58" s="17" t="s">
        <v>257</v>
      </c>
      <c r="D58" s="17" t="s">
        <v>258</v>
      </c>
      <c r="E58" s="17" t="s">
        <v>126</v>
      </c>
      <c r="F58" s="17" t="s">
        <v>124</v>
      </c>
      <c r="G58" s="17">
        <v>39</v>
      </c>
      <c r="H58" s="17" t="s">
        <v>127</v>
      </c>
      <c r="I58" s="17" t="s">
        <v>125</v>
      </c>
      <c r="J58" s="17" t="s">
        <v>43</v>
      </c>
      <c r="K58" s="17" t="s">
        <v>10</v>
      </c>
      <c r="L58" s="17" t="s">
        <v>10</v>
      </c>
      <c r="M58" s="17" t="s">
        <v>11</v>
      </c>
      <c r="N58" s="17" t="s">
        <v>35</v>
      </c>
      <c r="O58" s="17" t="s">
        <v>260</v>
      </c>
      <c r="P58" s="17" t="s">
        <v>261</v>
      </c>
      <c r="Q58" s="17" t="s">
        <v>721</v>
      </c>
      <c r="R58" s="17" t="s">
        <v>719</v>
      </c>
    </row>
    <row r="59" spans="2:18" x14ac:dyDescent="0.35">
      <c r="B59" s="18" t="s">
        <v>264</v>
      </c>
      <c r="C59" s="18" t="s">
        <v>262</v>
      </c>
      <c r="D59" s="18" t="s">
        <v>263</v>
      </c>
      <c r="E59" s="18" t="s">
        <v>150</v>
      </c>
      <c r="F59" s="18" t="s">
        <v>124</v>
      </c>
      <c r="G59" s="18">
        <v>41</v>
      </c>
      <c r="H59" s="18" t="s">
        <v>127</v>
      </c>
      <c r="I59" s="18" t="s">
        <v>125</v>
      </c>
      <c r="J59" s="18" t="s">
        <v>62</v>
      </c>
      <c r="K59" s="18" t="s">
        <v>24</v>
      </c>
      <c r="L59" s="18" t="s">
        <v>18</v>
      </c>
      <c r="M59" s="18" t="s">
        <v>19</v>
      </c>
      <c r="N59" s="18" t="s">
        <v>12</v>
      </c>
      <c r="O59" s="18" t="s">
        <v>265</v>
      </c>
      <c r="P59" s="18" t="s">
        <v>266</v>
      </c>
      <c r="Q59" s="18" t="s">
        <v>721</v>
      </c>
      <c r="R59" s="18" t="s">
        <v>719</v>
      </c>
    </row>
    <row r="60" spans="2:18" x14ac:dyDescent="0.35">
      <c r="B60" s="17" t="s">
        <v>269</v>
      </c>
      <c r="C60" s="17" t="s">
        <v>267</v>
      </c>
      <c r="D60" s="17" t="s">
        <v>268</v>
      </c>
      <c r="E60" s="17" t="s">
        <v>150</v>
      </c>
      <c r="F60" s="17" t="s">
        <v>124</v>
      </c>
      <c r="G60" s="17">
        <v>30</v>
      </c>
      <c r="H60" s="17" t="s">
        <v>127</v>
      </c>
      <c r="I60" s="17" t="s">
        <v>125</v>
      </c>
      <c r="J60" s="17" t="s">
        <v>33</v>
      </c>
      <c r="K60" s="17" t="s">
        <v>17</v>
      </c>
      <c r="L60" s="17" t="s">
        <v>18</v>
      </c>
      <c r="M60" s="17" t="s">
        <v>19</v>
      </c>
      <c r="N60" s="17" t="s">
        <v>12</v>
      </c>
      <c r="O60" s="17" t="s">
        <v>270</v>
      </c>
      <c r="P60" s="17" t="s">
        <v>271</v>
      </c>
      <c r="Q60" s="17" t="s">
        <v>724</v>
      </c>
      <c r="R60" s="17" t="s">
        <v>719</v>
      </c>
    </row>
    <row r="61" spans="2:18" x14ac:dyDescent="0.35">
      <c r="B61" s="18" t="s">
        <v>274</v>
      </c>
      <c r="C61" s="18" t="s">
        <v>272</v>
      </c>
      <c r="D61" s="18" t="s">
        <v>273</v>
      </c>
      <c r="E61" s="18" t="s">
        <v>126</v>
      </c>
      <c r="F61" s="18" t="s">
        <v>124</v>
      </c>
      <c r="G61" s="18">
        <v>33</v>
      </c>
      <c r="H61" s="18" t="s">
        <v>127</v>
      </c>
      <c r="I61" s="18" t="s">
        <v>125</v>
      </c>
      <c r="J61" s="18" t="s">
        <v>16</v>
      </c>
      <c r="K61" s="18" t="s">
        <v>10</v>
      </c>
      <c r="L61" s="18" t="s">
        <v>10</v>
      </c>
      <c r="M61" s="18" t="s">
        <v>25</v>
      </c>
      <c r="N61" s="18" t="s">
        <v>245</v>
      </c>
      <c r="O61" s="18" t="s">
        <v>275</v>
      </c>
      <c r="P61" s="18" t="s">
        <v>276</v>
      </c>
      <c r="Q61" s="18" t="s">
        <v>721</v>
      </c>
      <c r="R61" s="18" t="s">
        <v>719</v>
      </c>
    </row>
    <row r="62" spans="2:18" x14ac:dyDescent="0.35">
      <c r="B62" s="17" t="s">
        <v>278</v>
      </c>
      <c r="C62" s="17" t="s">
        <v>194</v>
      </c>
      <c r="D62" s="17" t="s">
        <v>277</v>
      </c>
      <c r="E62" s="17" t="s">
        <v>150</v>
      </c>
      <c r="F62" s="17" t="s">
        <v>124</v>
      </c>
      <c r="G62" s="17">
        <v>47</v>
      </c>
      <c r="H62" s="17" t="s">
        <v>127</v>
      </c>
      <c r="I62" s="17" t="s">
        <v>125</v>
      </c>
      <c r="J62" s="17" t="s">
        <v>16</v>
      </c>
      <c r="K62" s="17" t="s">
        <v>85</v>
      </c>
      <c r="L62" s="17" t="s">
        <v>18</v>
      </c>
      <c r="M62" s="17" t="s">
        <v>25</v>
      </c>
      <c r="N62" s="17" t="s">
        <v>47</v>
      </c>
      <c r="O62" s="17" t="s">
        <v>279</v>
      </c>
      <c r="P62" s="17" t="s">
        <v>280</v>
      </c>
      <c r="Q62" s="17" t="s">
        <v>720</v>
      </c>
      <c r="R62" s="17" t="s">
        <v>719</v>
      </c>
    </row>
    <row r="63" spans="2:18" x14ac:dyDescent="0.35">
      <c r="B63" s="18" t="s">
        <v>283</v>
      </c>
      <c r="C63" s="18" t="s">
        <v>281</v>
      </c>
      <c r="D63" s="18" t="s">
        <v>282</v>
      </c>
      <c r="E63" s="18" t="s">
        <v>126</v>
      </c>
      <c r="F63" s="18" t="s">
        <v>124</v>
      </c>
      <c r="G63" s="18">
        <v>38</v>
      </c>
      <c r="H63" s="18" t="s">
        <v>127</v>
      </c>
      <c r="I63" s="18" t="s">
        <v>125</v>
      </c>
      <c r="J63" s="18" t="s">
        <v>16</v>
      </c>
      <c r="K63" s="18" t="s">
        <v>89</v>
      </c>
      <c r="L63" s="18" t="s">
        <v>18</v>
      </c>
      <c r="M63" s="18" t="s">
        <v>25</v>
      </c>
      <c r="N63" s="18" t="s">
        <v>245</v>
      </c>
      <c r="O63" s="18" t="s">
        <v>284</v>
      </c>
      <c r="P63" s="18" t="s">
        <v>285</v>
      </c>
      <c r="Q63" s="18" t="s">
        <v>721</v>
      </c>
      <c r="R63" s="18" t="s">
        <v>719</v>
      </c>
    </row>
    <row r="64" spans="2:18" x14ac:dyDescent="0.35">
      <c r="B64" s="17" t="s">
        <v>288</v>
      </c>
      <c r="C64" s="17" t="s">
        <v>286</v>
      </c>
      <c r="D64" s="17" t="s">
        <v>287</v>
      </c>
      <c r="E64" s="17" t="s">
        <v>126</v>
      </c>
      <c r="F64" s="17" t="s">
        <v>124</v>
      </c>
      <c r="G64" s="17">
        <v>33</v>
      </c>
      <c r="H64" s="17" t="s">
        <v>127</v>
      </c>
      <c r="I64" s="17" t="s">
        <v>125</v>
      </c>
      <c r="J64" s="17" t="s">
        <v>16</v>
      </c>
      <c r="K64" s="17" t="s">
        <v>85</v>
      </c>
      <c r="L64" s="17" t="s">
        <v>18</v>
      </c>
      <c r="M64" s="17" t="s">
        <v>25</v>
      </c>
      <c r="N64" s="17" t="s">
        <v>26</v>
      </c>
      <c r="O64" s="17" t="s">
        <v>289</v>
      </c>
      <c r="P64" s="17" t="s">
        <v>290</v>
      </c>
      <c r="Q64" s="17" t="s">
        <v>721</v>
      </c>
      <c r="R64" s="17" t="s">
        <v>719</v>
      </c>
    </row>
    <row r="65" spans="2:18" x14ac:dyDescent="0.35">
      <c r="B65" s="18" t="s">
        <v>292</v>
      </c>
      <c r="C65" s="18" t="s">
        <v>677</v>
      </c>
      <c r="D65" s="18" t="s">
        <v>291</v>
      </c>
      <c r="E65" s="18" t="s">
        <v>126</v>
      </c>
      <c r="F65" s="18" t="s">
        <v>124</v>
      </c>
      <c r="G65" s="18">
        <v>43</v>
      </c>
      <c r="H65" s="18" t="s">
        <v>132</v>
      </c>
      <c r="I65" s="18" t="s">
        <v>125</v>
      </c>
      <c r="J65" s="18" t="s">
        <v>16</v>
      </c>
      <c r="K65" s="18" t="s">
        <v>10</v>
      </c>
      <c r="L65" s="18" t="s">
        <v>10</v>
      </c>
      <c r="M65" s="18" t="s">
        <v>25</v>
      </c>
      <c r="N65" s="18" t="s">
        <v>151</v>
      </c>
      <c r="O65" s="18" t="s">
        <v>293</v>
      </c>
      <c r="P65" s="18" t="s">
        <v>294</v>
      </c>
      <c r="Q65" s="18" t="s">
        <v>720</v>
      </c>
      <c r="R65" s="18" t="s">
        <v>719</v>
      </c>
    </row>
    <row r="66" spans="2:18" x14ac:dyDescent="0.35">
      <c r="B66" s="17" t="s">
        <v>296</v>
      </c>
      <c r="C66" s="17" t="s">
        <v>678</v>
      </c>
      <c r="D66" s="17" t="s">
        <v>295</v>
      </c>
      <c r="E66" s="17" t="s">
        <v>126</v>
      </c>
      <c r="F66" s="17" t="s">
        <v>124</v>
      </c>
      <c r="G66" s="17">
        <v>44</v>
      </c>
      <c r="H66" s="17" t="s">
        <v>127</v>
      </c>
      <c r="I66" s="17" t="s">
        <v>149</v>
      </c>
      <c r="J66" s="17" t="s">
        <v>16</v>
      </c>
      <c r="K66" s="17" t="s">
        <v>89</v>
      </c>
      <c r="L66" s="17" t="s">
        <v>18</v>
      </c>
      <c r="M66" s="17" t="s">
        <v>25</v>
      </c>
      <c r="N66" s="17" t="s">
        <v>297</v>
      </c>
      <c r="O66" s="17" t="s">
        <v>298</v>
      </c>
      <c r="P66" s="17" t="s">
        <v>299</v>
      </c>
      <c r="Q66" s="17" t="s">
        <v>720</v>
      </c>
      <c r="R66" s="17" t="s">
        <v>719</v>
      </c>
    </row>
    <row r="67" spans="2:18" x14ac:dyDescent="0.35">
      <c r="B67" s="18" t="s">
        <v>301</v>
      </c>
      <c r="C67" s="18" t="s">
        <v>300</v>
      </c>
      <c r="D67" s="18" t="s">
        <v>692</v>
      </c>
      <c r="E67" s="18" t="s">
        <v>126</v>
      </c>
      <c r="F67" s="18" t="s">
        <v>124</v>
      </c>
      <c r="G67" s="18">
        <v>45</v>
      </c>
      <c r="H67" s="18" t="s">
        <v>127</v>
      </c>
      <c r="I67" s="18" t="s">
        <v>125</v>
      </c>
      <c r="J67" s="18" t="s">
        <v>185</v>
      </c>
      <c r="K67" s="18" t="s">
        <v>85</v>
      </c>
      <c r="L67" s="18" t="s">
        <v>18</v>
      </c>
      <c r="M67" s="18" t="s">
        <v>25</v>
      </c>
      <c r="N67" s="18" t="s">
        <v>35</v>
      </c>
      <c r="O67" s="18" t="s">
        <v>302</v>
      </c>
      <c r="P67" s="18" t="s">
        <v>303</v>
      </c>
      <c r="Q67" s="18" t="s">
        <v>720</v>
      </c>
      <c r="R67" s="18" t="s">
        <v>719</v>
      </c>
    </row>
    <row r="68" spans="2:18" x14ac:dyDescent="0.35">
      <c r="B68" s="17" t="s">
        <v>306</v>
      </c>
      <c r="C68" s="17" t="s">
        <v>304</v>
      </c>
      <c r="D68" s="17" t="s">
        <v>305</v>
      </c>
      <c r="E68" s="17" t="s">
        <v>150</v>
      </c>
      <c r="F68" s="17" t="s">
        <v>139</v>
      </c>
      <c r="G68" s="17">
        <v>42</v>
      </c>
      <c r="H68" s="17" t="s">
        <v>127</v>
      </c>
      <c r="I68" s="17" t="s">
        <v>125</v>
      </c>
      <c r="J68" s="17" t="s">
        <v>16</v>
      </c>
      <c r="K68" s="17" t="s">
        <v>85</v>
      </c>
      <c r="L68" s="17" t="s">
        <v>18</v>
      </c>
      <c r="M68" s="17" t="s">
        <v>25</v>
      </c>
      <c r="N68" s="17" t="s">
        <v>47</v>
      </c>
      <c r="O68" s="17" t="s">
        <v>307</v>
      </c>
      <c r="P68" s="17" t="s">
        <v>308</v>
      </c>
      <c r="Q68" s="17" t="s">
        <v>720</v>
      </c>
      <c r="R68" s="17" t="s">
        <v>719</v>
      </c>
    </row>
    <row r="69" spans="2:18" x14ac:dyDescent="0.35">
      <c r="B69" s="18" t="s">
        <v>311</v>
      </c>
      <c r="C69" s="18" t="s">
        <v>309</v>
      </c>
      <c r="D69" s="18" t="s">
        <v>310</v>
      </c>
      <c r="E69" s="18" t="s">
        <v>126</v>
      </c>
      <c r="F69" s="18" t="s">
        <v>124</v>
      </c>
      <c r="G69" s="18">
        <v>25</v>
      </c>
      <c r="H69" s="18" t="s">
        <v>127</v>
      </c>
      <c r="I69" s="18" t="s">
        <v>149</v>
      </c>
      <c r="J69" s="18" t="s">
        <v>16</v>
      </c>
      <c r="K69" s="18" t="s">
        <v>10</v>
      </c>
      <c r="L69" s="18" t="s">
        <v>10</v>
      </c>
      <c r="M69" s="18" t="s">
        <v>25</v>
      </c>
      <c r="N69" s="18" t="s">
        <v>312</v>
      </c>
      <c r="O69" s="18" t="s">
        <v>313</v>
      </c>
      <c r="P69" s="18" t="s">
        <v>314</v>
      </c>
      <c r="Q69" s="18" t="s">
        <v>724</v>
      </c>
      <c r="R69" s="18" t="s">
        <v>719</v>
      </c>
    </row>
    <row r="70" spans="2:18" x14ac:dyDescent="0.35">
      <c r="B70" s="17" t="s">
        <v>316</v>
      </c>
      <c r="C70" s="17" t="s">
        <v>315</v>
      </c>
      <c r="D70" s="17" t="s">
        <v>688</v>
      </c>
      <c r="E70" s="17" t="s">
        <v>150</v>
      </c>
      <c r="F70" s="17" t="s">
        <v>139</v>
      </c>
      <c r="G70" s="17">
        <v>34</v>
      </c>
      <c r="H70" s="17" t="s">
        <v>127</v>
      </c>
      <c r="I70" s="17" t="s">
        <v>149</v>
      </c>
      <c r="J70" s="17" t="s">
        <v>16</v>
      </c>
      <c r="K70" s="17" t="s">
        <v>89</v>
      </c>
      <c r="L70" s="17" t="s">
        <v>18</v>
      </c>
      <c r="M70" s="17" t="s">
        <v>25</v>
      </c>
      <c r="N70" s="17" t="s">
        <v>312</v>
      </c>
      <c r="O70" s="17" t="s">
        <v>317</v>
      </c>
      <c r="P70" s="17" t="s">
        <v>318</v>
      </c>
      <c r="Q70" s="17" t="s">
        <v>721</v>
      </c>
      <c r="R70" s="17" t="s">
        <v>719</v>
      </c>
    </row>
    <row r="71" spans="2:18" x14ac:dyDescent="0.35">
      <c r="B71" s="18" t="s">
        <v>320</v>
      </c>
      <c r="C71" s="18" t="s">
        <v>319</v>
      </c>
      <c r="D71" s="18" t="s">
        <v>136</v>
      </c>
      <c r="E71" s="18" t="s">
        <v>126</v>
      </c>
      <c r="F71" s="18" t="s">
        <v>124</v>
      </c>
      <c r="G71" s="18">
        <v>60</v>
      </c>
      <c r="H71" s="18" t="s">
        <v>127</v>
      </c>
      <c r="I71" s="18" t="s">
        <v>125</v>
      </c>
      <c r="J71" s="18" t="s">
        <v>16</v>
      </c>
      <c r="K71" s="18" t="s">
        <v>89</v>
      </c>
      <c r="L71" s="18" t="s">
        <v>18</v>
      </c>
      <c r="M71" s="18" t="s">
        <v>25</v>
      </c>
      <c r="N71" s="18" t="s">
        <v>312</v>
      </c>
      <c r="O71" s="18" t="s">
        <v>321</v>
      </c>
      <c r="P71" s="18" t="s">
        <v>322</v>
      </c>
      <c r="Q71" s="18" t="s">
        <v>718</v>
      </c>
      <c r="R71" s="18" t="s">
        <v>719</v>
      </c>
    </row>
    <row r="72" spans="2:18" x14ac:dyDescent="0.35">
      <c r="B72" s="17" t="s">
        <v>326</v>
      </c>
      <c r="C72" s="17" t="s">
        <v>323</v>
      </c>
      <c r="D72" s="17" t="s">
        <v>325</v>
      </c>
      <c r="E72" s="17" t="s">
        <v>126</v>
      </c>
      <c r="F72" s="17" t="s">
        <v>124</v>
      </c>
      <c r="G72" s="17">
        <v>26</v>
      </c>
      <c r="H72" s="17" t="s">
        <v>127</v>
      </c>
      <c r="I72" s="17" t="s">
        <v>125</v>
      </c>
      <c r="J72" s="17" t="s">
        <v>205</v>
      </c>
      <c r="K72" s="17" t="s">
        <v>17</v>
      </c>
      <c r="L72" s="17" t="s">
        <v>18</v>
      </c>
      <c r="M72" s="17" t="s">
        <v>25</v>
      </c>
      <c r="N72" s="17" t="s">
        <v>26</v>
      </c>
      <c r="O72" s="17" t="s">
        <v>327</v>
      </c>
      <c r="P72" s="17" t="s">
        <v>328</v>
      </c>
      <c r="Q72" s="17" t="s">
        <v>724</v>
      </c>
      <c r="R72" s="17" t="s">
        <v>719</v>
      </c>
    </row>
    <row r="73" spans="2:18" x14ac:dyDescent="0.35">
      <c r="B73" s="18" t="s">
        <v>330</v>
      </c>
      <c r="C73" s="18" t="s">
        <v>679</v>
      </c>
      <c r="D73" s="18" t="s">
        <v>329</v>
      </c>
      <c r="E73" s="18" t="s">
        <v>150</v>
      </c>
      <c r="F73" s="18" t="s">
        <v>139</v>
      </c>
      <c r="G73" s="18">
        <v>30</v>
      </c>
      <c r="H73" s="18" t="s">
        <v>127</v>
      </c>
      <c r="I73" s="18" t="s">
        <v>149</v>
      </c>
      <c r="J73" s="18" t="s">
        <v>43</v>
      </c>
      <c r="K73" s="18" t="s">
        <v>10</v>
      </c>
      <c r="L73" s="18" t="s">
        <v>10</v>
      </c>
      <c r="M73" s="18" t="s">
        <v>19</v>
      </c>
      <c r="N73" s="18" t="s">
        <v>12</v>
      </c>
      <c r="O73" s="18" t="s">
        <v>331</v>
      </c>
      <c r="P73" s="18" t="s">
        <v>332</v>
      </c>
      <c r="Q73" s="18" t="s">
        <v>724</v>
      </c>
      <c r="R73" s="18" t="s">
        <v>719</v>
      </c>
    </row>
    <row r="74" spans="2:18" x14ac:dyDescent="0.35">
      <c r="B74" s="17" t="s">
        <v>335</v>
      </c>
      <c r="C74" s="17" t="s">
        <v>333</v>
      </c>
      <c r="D74" s="17" t="s">
        <v>334</v>
      </c>
      <c r="E74" s="17" t="s">
        <v>126</v>
      </c>
      <c r="F74" s="17" t="s">
        <v>124</v>
      </c>
      <c r="G74" s="17">
        <v>32</v>
      </c>
      <c r="H74" s="17" t="s">
        <v>127</v>
      </c>
      <c r="I74" s="17" t="s">
        <v>125</v>
      </c>
      <c r="J74" s="17" t="s">
        <v>16</v>
      </c>
      <c r="K74" s="17" t="s">
        <v>85</v>
      </c>
      <c r="L74" s="17" t="s">
        <v>18</v>
      </c>
      <c r="M74" s="17" t="s">
        <v>25</v>
      </c>
      <c r="N74" s="17" t="s">
        <v>35</v>
      </c>
      <c r="O74" s="17" t="s">
        <v>336</v>
      </c>
      <c r="P74" s="17" t="s">
        <v>337</v>
      </c>
      <c r="Q74" s="17" t="s">
        <v>721</v>
      </c>
      <c r="R74" s="17" t="s">
        <v>719</v>
      </c>
    </row>
    <row r="75" spans="2:18" x14ac:dyDescent="0.35">
      <c r="B75" s="18" t="s">
        <v>340</v>
      </c>
      <c r="C75" s="18" t="s">
        <v>338</v>
      </c>
      <c r="D75" s="18" t="s">
        <v>339</v>
      </c>
      <c r="E75" s="18" t="s">
        <v>126</v>
      </c>
      <c r="F75" s="18" t="s">
        <v>124</v>
      </c>
      <c r="G75" s="18">
        <v>27</v>
      </c>
      <c r="H75" s="18" t="s">
        <v>127</v>
      </c>
      <c r="I75" s="18" t="s">
        <v>125</v>
      </c>
      <c r="J75" s="18" t="s">
        <v>16</v>
      </c>
      <c r="K75" s="18" t="s">
        <v>34</v>
      </c>
      <c r="L75" s="18" t="s">
        <v>18</v>
      </c>
      <c r="M75" s="18" t="s">
        <v>25</v>
      </c>
      <c r="N75" s="18" t="s">
        <v>35</v>
      </c>
      <c r="O75" s="18" t="s">
        <v>341</v>
      </c>
      <c r="P75" s="18" t="s">
        <v>342</v>
      </c>
      <c r="Q75" s="18" t="s">
        <v>724</v>
      </c>
      <c r="R75" s="18" t="s">
        <v>719</v>
      </c>
    </row>
    <row r="76" spans="2:18" x14ac:dyDescent="0.35">
      <c r="B76" s="17" t="s">
        <v>345</v>
      </c>
      <c r="C76" s="17" t="s">
        <v>343</v>
      </c>
      <c r="D76" s="17" t="s">
        <v>344</v>
      </c>
      <c r="E76" s="17" t="s">
        <v>150</v>
      </c>
      <c r="F76" s="17" t="s">
        <v>124</v>
      </c>
      <c r="G76" s="17">
        <v>35</v>
      </c>
      <c r="H76" s="17" t="s">
        <v>127</v>
      </c>
      <c r="I76" s="17" t="s">
        <v>125</v>
      </c>
      <c r="J76" s="17" t="s">
        <v>16</v>
      </c>
      <c r="K76" s="17" t="s">
        <v>89</v>
      </c>
      <c r="L76" s="17" t="s">
        <v>18</v>
      </c>
      <c r="M76" s="17" t="s">
        <v>25</v>
      </c>
      <c r="N76" s="17" t="s">
        <v>312</v>
      </c>
      <c r="O76" s="17" t="s">
        <v>346</v>
      </c>
      <c r="P76" s="17" t="s">
        <v>347</v>
      </c>
      <c r="Q76" s="17" t="s">
        <v>721</v>
      </c>
      <c r="R76" s="17" t="s">
        <v>719</v>
      </c>
    </row>
    <row r="77" spans="2:18" x14ac:dyDescent="0.35">
      <c r="B77" s="18" t="s">
        <v>349</v>
      </c>
      <c r="C77" s="18" t="s">
        <v>348</v>
      </c>
      <c r="D77" s="18" t="s">
        <v>693</v>
      </c>
      <c r="E77" s="18" t="s">
        <v>150</v>
      </c>
      <c r="F77" s="18" t="s">
        <v>124</v>
      </c>
      <c r="G77" s="18">
        <v>63</v>
      </c>
      <c r="H77" s="18" t="s">
        <v>127</v>
      </c>
      <c r="I77" s="18" t="s">
        <v>145</v>
      </c>
      <c r="J77" s="18" t="s">
        <v>16</v>
      </c>
      <c r="K77" s="18" t="s">
        <v>10</v>
      </c>
      <c r="L77" s="18" t="s">
        <v>10</v>
      </c>
      <c r="M77" s="18" t="s">
        <v>25</v>
      </c>
      <c r="N77" s="18" t="s">
        <v>350</v>
      </c>
      <c r="O77" s="18" t="s">
        <v>351</v>
      </c>
      <c r="P77" s="18" t="s">
        <v>352</v>
      </c>
      <c r="Q77" s="18" t="s">
        <v>718</v>
      </c>
      <c r="R77" s="18" t="s">
        <v>719</v>
      </c>
    </row>
    <row r="78" spans="2:18" x14ac:dyDescent="0.35">
      <c r="B78" s="17" t="s">
        <v>355</v>
      </c>
      <c r="C78" s="17" t="s">
        <v>193</v>
      </c>
      <c r="D78" s="17" t="s">
        <v>354</v>
      </c>
      <c r="E78" s="17" t="s">
        <v>126</v>
      </c>
      <c r="F78" s="17" t="s">
        <v>124</v>
      </c>
      <c r="G78" s="17">
        <v>64</v>
      </c>
      <c r="H78" s="17" t="s">
        <v>127</v>
      </c>
      <c r="I78" s="17" t="s">
        <v>125</v>
      </c>
      <c r="J78" s="17" t="s">
        <v>16</v>
      </c>
      <c r="K78" s="17" t="s">
        <v>89</v>
      </c>
      <c r="L78" s="17" t="s">
        <v>18</v>
      </c>
      <c r="M78" s="17" t="s">
        <v>19</v>
      </c>
      <c r="N78" s="17" t="s">
        <v>12</v>
      </c>
      <c r="O78" s="17" t="s">
        <v>356</v>
      </c>
      <c r="P78" s="17" t="s">
        <v>357</v>
      </c>
      <c r="Q78" s="17" t="s">
        <v>722</v>
      </c>
      <c r="R78" s="17" t="s">
        <v>723</v>
      </c>
    </row>
    <row r="79" spans="2:18" x14ac:dyDescent="0.35">
      <c r="B79" s="18" t="s">
        <v>359</v>
      </c>
      <c r="C79" s="18" t="s">
        <v>680</v>
      </c>
      <c r="D79" s="18" t="s">
        <v>694</v>
      </c>
      <c r="E79" s="18" t="s">
        <v>126</v>
      </c>
      <c r="F79" s="18" t="s">
        <v>124</v>
      </c>
      <c r="G79" s="18">
        <v>41</v>
      </c>
      <c r="H79" s="18" t="s">
        <v>127</v>
      </c>
      <c r="I79" s="18" t="s">
        <v>149</v>
      </c>
      <c r="J79" s="18" t="s">
        <v>205</v>
      </c>
      <c r="K79" s="18" t="s">
        <v>85</v>
      </c>
      <c r="L79" s="18" t="s">
        <v>18</v>
      </c>
      <c r="M79" s="18" t="s">
        <v>11</v>
      </c>
      <c r="N79" s="18" t="s">
        <v>35</v>
      </c>
      <c r="O79" s="18" t="s">
        <v>360</v>
      </c>
      <c r="P79" s="18" t="s">
        <v>361</v>
      </c>
      <c r="Q79" s="18" t="s">
        <v>721</v>
      </c>
      <c r="R79" s="18" t="s">
        <v>719</v>
      </c>
    </row>
    <row r="80" spans="2:18" x14ac:dyDescent="0.35">
      <c r="B80" s="17" t="s">
        <v>363</v>
      </c>
      <c r="C80" s="17" t="s">
        <v>362</v>
      </c>
      <c r="D80" s="17" t="s">
        <v>137</v>
      </c>
      <c r="E80" s="17" t="s">
        <v>150</v>
      </c>
      <c r="F80" s="17" t="s">
        <v>124</v>
      </c>
      <c r="G80" s="17">
        <v>54</v>
      </c>
      <c r="H80" s="17" t="s">
        <v>127</v>
      </c>
      <c r="I80" s="17" t="s">
        <v>149</v>
      </c>
      <c r="J80" s="17" t="s">
        <v>62</v>
      </c>
      <c r="K80" s="17" t="s">
        <v>17</v>
      </c>
      <c r="L80" s="17" t="s">
        <v>18</v>
      </c>
      <c r="M80" s="17" t="s">
        <v>19</v>
      </c>
      <c r="N80" s="17" t="s">
        <v>12</v>
      </c>
      <c r="O80" s="17" t="s">
        <v>364</v>
      </c>
      <c r="P80" s="17" t="s">
        <v>365</v>
      </c>
      <c r="Q80" s="17" t="s">
        <v>718</v>
      </c>
      <c r="R80" s="17" t="s">
        <v>719</v>
      </c>
    </row>
    <row r="81" spans="2:18" x14ac:dyDescent="0.35">
      <c r="B81" s="18" t="s">
        <v>367</v>
      </c>
      <c r="C81" s="18" t="s">
        <v>366</v>
      </c>
      <c r="D81" s="18" t="s">
        <v>695</v>
      </c>
      <c r="E81" s="18" t="s">
        <v>150</v>
      </c>
      <c r="F81" s="18" t="s">
        <v>139</v>
      </c>
      <c r="G81" s="18">
        <v>36</v>
      </c>
      <c r="H81" s="18" t="s">
        <v>127</v>
      </c>
      <c r="I81" s="18" t="s">
        <v>145</v>
      </c>
      <c r="J81" s="18" t="s">
        <v>62</v>
      </c>
      <c r="K81" s="18" t="s">
        <v>24</v>
      </c>
      <c r="L81" s="18" t="s">
        <v>18</v>
      </c>
      <c r="M81" s="18" t="s">
        <v>19</v>
      </c>
      <c r="N81" s="18" t="s">
        <v>12</v>
      </c>
      <c r="O81" s="18" t="s">
        <v>368</v>
      </c>
      <c r="P81" s="18" t="s">
        <v>369</v>
      </c>
      <c r="Q81" s="18" t="s">
        <v>721</v>
      </c>
      <c r="R81" s="18" t="s">
        <v>719</v>
      </c>
    </row>
    <row r="82" spans="2:18" x14ac:dyDescent="0.35">
      <c r="B82" s="17" t="s">
        <v>371</v>
      </c>
      <c r="C82" s="17" t="s">
        <v>370</v>
      </c>
      <c r="D82" s="17" t="s">
        <v>137</v>
      </c>
      <c r="E82" s="17" t="s">
        <v>126</v>
      </c>
      <c r="F82" s="17" t="s">
        <v>124</v>
      </c>
      <c r="G82" s="17">
        <v>50</v>
      </c>
      <c r="H82" s="17" t="s">
        <v>127</v>
      </c>
      <c r="I82" s="17" t="s">
        <v>125</v>
      </c>
      <c r="J82" s="17" t="s">
        <v>16</v>
      </c>
      <c r="K82" s="17" t="s">
        <v>17</v>
      </c>
      <c r="L82" s="17" t="s">
        <v>18</v>
      </c>
      <c r="M82" s="17" t="s">
        <v>19</v>
      </c>
      <c r="N82" s="17" t="s">
        <v>12</v>
      </c>
      <c r="O82" s="17" t="s">
        <v>372</v>
      </c>
      <c r="P82" s="17" t="s">
        <v>373</v>
      </c>
      <c r="Q82" s="17" t="s">
        <v>720</v>
      </c>
      <c r="R82" s="17" t="s">
        <v>719</v>
      </c>
    </row>
    <row r="83" spans="2:18" x14ac:dyDescent="0.35">
      <c r="B83" s="18" t="s">
        <v>375</v>
      </c>
      <c r="C83" s="18" t="s">
        <v>199</v>
      </c>
      <c r="D83" s="18" t="s">
        <v>374</v>
      </c>
      <c r="E83" s="18" t="s">
        <v>126</v>
      </c>
      <c r="F83" s="18" t="s">
        <v>124</v>
      </c>
      <c r="G83" s="18">
        <v>61</v>
      </c>
      <c r="H83" s="18" t="s">
        <v>127</v>
      </c>
      <c r="I83" s="18" t="s">
        <v>149</v>
      </c>
      <c r="J83" s="18" t="s">
        <v>62</v>
      </c>
      <c r="K83" s="18" t="s">
        <v>24</v>
      </c>
      <c r="L83" s="18" t="s">
        <v>18</v>
      </c>
      <c r="M83" s="18" t="s">
        <v>19</v>
      </c>
      <c r="N83" s="18" t="s">
        <v>12</v>
      </c>
      <c r="O83" s="18" t="s">
        <v>376</v>
      </c>
      <c r="P83" s="18" t="s">
        <v>377</v>
      </c>
      <c r="Q83" s="18" t="s">
        <v>718</v>
      </c>
      <c r="R83" s="18" t="s">
        <v>719</v>
      </c>
    </row>
    <row r="84" spans="2:18" x14ac:dyDescent="0.35">
      <c r="B84" s="17" t="s">
        <v>378</v>
      </c>
      <c r="C84" s="17" t="s">
        <v>681</v>
      </c>
      <c r="D84" s="17" t="s">
        <v>696</v>
      </c>
      <c r="E84" s="17" t="s">
        <v>150</v>
      </c>
      <c r="F84" s="17" t="s">
        <v>124</v>
      </c>
      <c r="G84" s="17">
        <v>45</v>
      </c>
      <c r="H84" s="17" t="s">
        <v>127</v>
      </c>
      <c r="I84" s="17" t="s">
        <v>149</v>
      </c>
      <c r="J84" s="17" t="s">
        <v>205</v>
      </c>
      <c r="K84" s="17" t="s">
        <v>10</v>
      </c>
      <c r="L84" s="17" t="s">
        <v>10</v>
      </c>
      <c r="M84" s="17" t="s">
        <v>11</v>
      </c>
      <c r="N84" s="17" t="s">
        <v>35</v>
      </c>
      <c r="O84" s="17" t="s">
        <v>379</v>
      </c>
      <c r="P84" s="17" t="s">
        <v>380</v>
      </c>
      <c r="Q84" s="17" t="s">
        <v>720</v>
      </c>
      <c r="R84" s="17" t="s">
        <v>719</v>
      </c>
    </row>
    <row r="85" spans="2:18" x14ac:dyDescent="0.35">
      <c r="B85" s="18" t="s">
        <v>383</v>
      </c>
      <c r="C85" s="18" t="s">
        <v>381</v>
      </c>
      <c r="D85" s="18" t="s">
        <v>382</v>
      </c>
      <c r="E85" s="18" t="s">
        <v>508</v>
      </c>
      <c r="F85" s="18" t="s">
        <v>139</v>
      </c>
      <c r="G85" s="18">
        <v>31</v>
      </c>
      <c r="H85" s="18" t="s">
        <v>127</v>
      </c>
      <c r="I85" s="18" t="s">
        <v>149</v>
      </c>
      <c r="J85" s="18" t="s">
        <v>62</v>
      </c>
      <c r="K85" s="18" t="s">
        <v>24</v>
      </c>
      <c r="L85" s="18" t="s">
        <v>18</v>
      </c>
      <c r="M85" s="18" t="s">
        <v>19</v>
      </c>
      <c r="N85" s="18" t="s">
        <v>12</v>
      </c>
      <c r="O85" s="18" t="s">
        <v>384</v>
      </c>
      <c r="P85" s="18" t="s">
        <v>385</v>
      </c>
      <c r="Q85" s="18" t="s">
        <v>721</v>
      </c>
      <c r="R85" s="18" t="s">
        <v>719</v>
      </c>
    </row>
    <row r="86" spans="2:18" x14ac:dyDescent="0.35">
      <c r="B86" s="17" t="s">
        <v>387</v>
      </c>
      <c r="C86" s="17" t="s">
        <v>232</v>
      </c>
      <c r="D86" s="17" t="s">
        <v>386</v>
      </c>
      <c r="E86" s="17" t="s">
        <v>126</v>
      </c>
      <c r="F86" s="17" t="s">
        <v>124</v>
      </c>
      <c r="G86" s="17">
        <v>63</v>
      </c>
      <c r="H86" s="17" t="s">
        <v>127</v>
      </c>
      <c r="I86" s="17" t="s">
        <v>125</v>
      </c>
      <c r="J86" s="17" t="s">
        <v>43</v>
      </c>
      <c r="K86" s="17" t="s">
        <v>17</v>
      </c>
      <c r="L86" s="17" t="s">
        <v>18</v>
      </c>
      <c r="M86" s="17" t="s">
        <v>19</v>
      </c>
      <c r="N86" s="17" t="s">
        <v>12</v>
      </c>
      <c r="O86" s="17" t="s">
        <v>388</v>
      </c>
      <c r="P86" s="17" t="s">
        <v>389</v>
      </c>
      <c r="Q86" s="17" t="s">
        <v>718</v>
      </c>
      <c r="R86" s="17" t="s">
        <v>719</v>
      </c>
    </row>
    <row r="87" spans="2:18" x14ac:dyDescent="0.35">
      <c r="B87" s="18" t="s">
        <v>391</v>
      </c>
      <c r="C87" s="18" t="s">
        <v>390</v>
      </c>
      <c r="D87" s="18" t="s">
        <v>172</v>
      </c>
      <c r="E87" s="18" t="s">
        <v>150</v>
      </c>
      <c r="F87" s="18" t="s">
        <v>124</v>
      </c>
      <c r="G87" s="18">
        <v>52</v>
      </c>
      <c r="H87" s="18" t="s">
        <v>127</v>
      </c>
      <c r="I87" s="18" t="s">
        <v>125</v>
      </c>
      <c r="J87" s="18" t="s">
        <v>16</v>
      </c>
      <c r="K87" s="18" t="s">
        <v>85</v>
      </c>
      <c r="L87" s="18" t="s">
        <v>18</v>
      </c>
      <c r="M87" s="18" t="s">
        <v>25</v>
      </c>
      <c r="N87" s="18" t="s">
        <v>26</v>
      </c>
      <c r="O87" s="18" t="s">
        <v>392</v>
      </c>
      <c r="P87" s="18" t="s">
        <v>393</v>
      </c>
      <c r="Q87" s="18" t="s">
        <v>720</v>
      </c>
      <c r="R87" s="18" t="s">
        <v>719</v>
      </c>
    </row>
    <row r="88" spans="2:18" x14ac:dyDescent="0.35">
      <c r="B88" s="17" t="s">
        <v>395</v>
      </c>
      <c r="C88" s="17" t="s">
        <v>362</v>
      </c>
      <c r="D88" s="17" t="s">
        <v>394</v>
      </c>
      <c r="E88" s="17" t="s">
        <v>126</v>
      </c>
      <c r="F88" s="17" t="s">
        <v>124</v>
      </c>
      <c r="G88" s="17">
        <v>42</v>
      </c>
      <c r="H88" s="17" t="s">
        <v>127</v>
      </c>
      <c r="I88" s="17" t="s">
        <v>149</v>
      </c>
      <c r="J88" s="17" t="s">
        <v>16</v>
      </c>
      <c r="K88" s="17" t="s">
        <v>24</v>
      </c>
      <c r="L88" s="17" t="s">
        <v>18</v>
      </c>
      <c r="M88" s="17" t="s">
        <v>19</v>
      </c>
      <c r="N88" s="17" t="s">
        <v>206</v>
      </c>
      <c r="O88" s="17" t="s">
        <v>396</v>
      </c>
      <c r="P88" s="17" t="s">
        <v>397</v>
      </c>
      <c r="Q88" s="17" t="s">
        <v>720</v>
      </c>
      <c r="R88" s="17" t="s">
        <v>719</v>
      </c>
    </row>
    <row r="89" spans="2:18" x14ac:dyDescent="0.35">
      <c r="B89" s="18" t="s">
        <v>400</v>
      </c>
      <c r="C89" s="18" t="s">
        <v>398</v>
      </c>
      <c r="D89" s="18" t="s">
        <v>399</v>
      </c>
      <c r="E89" s="18" t="s">
        <v>150</v>
      </c>
      <c r="F89" s="18" t="s">
        <v>124</v>
      </c>
      <c r="G89" s="18">
        <v>46</v>
      </c>
      <c r="H89" s="18" t="s">
        <v>127</v>
      </c>
      <c r="I89" s="18" t="s">
        <v>149</v>
      </c>
      <c r="J89" s="18" t="s">
        <v>16</v>
      </c>
      <c r="K89" s="18" t="s">
        <v>89</v>
      </c>
      <c r="L89" s="18" t="s">
        <v>18</v>
      </c>
      <c r="M89" s="18" t="s">
        <v>19</v>
      </c>
      <c r="N89" s="18" t="s">
        <v>206</v>
      </c>
      <c r="O89" s="18" t="s">
        <v>401</v>
      </c>
      <c r="P89" s="18" t="s">
        <v>402</v>
      </c>
      <c r="Q89" s="18" t="s">
        <v>720</v>
      </c>
      <c r="R89" s="18" t="s">
        <v>719</v>
      </c>
    </row>
    <row r="90" spans="2:18" x14ac:dyDescent="0.35">
      <c r="B90" s="17" t="s">
        <v>404</v>
      </c>
      <c r="C90" s="17" t="s">
        <v>403</v>
      </c>
      <c r="D90" s="17" t="s">
        <v>697</v>
      </c>
      <c r="E90" s="17" t="s">
        <v>126</v>
      </c>
      <c r="F90" s="17" t="s">
        <v>124</v>
      </c>
      <c r="G90" s="17">
        <v>32</v>
      </c>
      <c r="H90" s="17" t="s">
        <v>127</v>
      </c>
      <c r="I90" s="17" t="s">
        <v>125</v>
      </c>
      <c r="J90" s="17" t="s">
        <v>16</v>
      </c>
      <c r="K90" s="17" t="s">
        <v>17</v>
      </c>
      <c r="L90" s="17" t="s">
        <v>18</v>
      </c>
      <c r="M90" s="17" t="s">
        <v>19</v>
      </c>
      <c r="N90" s="17" t="s">
        <v>206</v>
      </c>
      <c r="O90" s="17" t="s">
        <v>405</v>
      </c>
      <c r="P90" s="17" t="s">
        <v>406</v>
      </c>
      <c r="Q90" s="17" t="s">
        <v>721</v>
      </c>
      <c r="R90" s="17" t="s">
        <v>719</v>
      </c>
    </row>
    <row r="91" spans="2:18" x14ac:dyDescent="0.35">
      <c r="B91" s="18" t="s">
        <v>409</v>
      </c>
      <c r="C91" s="18" t="s">
        <v>407</v>
      </c>
      <c r="D91" s="18" t="s">
        <v>408</v>
      </c>
      <c r="E91" s="18" t="s">
        <v>150</v>
      </c>
      <c r="F91" s="18" t="s">
        <v>124</v>
      </c>
      <c r="G91" s="18">
        <v>38</v>
      </c>
      <c r="H91" s="18" t="s">
        <v>127</v>
      </c>
      <c r="I91" s="18" t="s">
        <v>145</v>
      </c>
      <c r="J91" s="18" t="s">
        <v>16</v>
      </c>
      <c r="K91" s="18" t="s">
        <v>89</v>
      </c>
      <c r="L91" s="18" t="s">
        <v>18</v>
      </c>
      <c r="M91" s="18" t="s">
        <v>19</v>
      </c>
      <c r="N91" s="18" t="s">
        <v>12</v>
      </c>
      <c r="O91" s="18" t="s">
        <v>410</v>
      </c>
      <c r="P91" s="18" t="s">
        <v>411</v>
      </c>
      <c r="Q91" s="18" t="s">
        <v>721</v>
      </c>
      <c r="R91" s="18" t="s">
        <v>719</v>
      </c>
    </row>
    <row r="92" spans="2:18" x14ac:dyDescent="0.35">
      <c r="B92" s="17" t="s">
        <v>413</v>
      </c>
      <c r="C92" s="17" t="s">
        <v>412</v>
      </c>
      <c r="D92" s="17" t="s">
        <v>698</v>
      </c>
      <c r="E92" s="17" t="s">
        <v>150</v>
      </c>
      <c r="F92" s="17" t="s">
        <v>124</v>
      </c>
      <c r="G92" s="17">
        <v>49</v>
      </c>
      <c r="H92" s="17" t="s">
        <v>127</v>
      </c>
      <c r="I92" s="17" t="s">
        <v>149</v>
      </c>
      <c r="J92" s="17" t="s">
        <v>16</v>
      </c>
      <c r="K92" s="17" t="s">
        <v>89</v>
      </c>
      <c r="L92" s="17" t="s">
        <v>18</v>
      </c>
      <c r="M92" s="17" t="s">
        <v>19</v>
      </c>
      <c r="N92" s="17" t="s">
        <v>12</v>
      </c>
      <c r="O92" s="17" t="s">
        <v>414</v>
      </c>
      <c r="P92" s="17" t="s">
        <v>415</v>
      </c>
      <c r="Q92" s="17" t="s">
        <v>720</v>
      </c>
      <c r="R92" s="17" t="s">
        <v>719</v>
      </c>
    </row>
    <row r="93" spans="2:18" x14ac:dyDescent="0.35">
      <c r="B93" s="18" t="s">
        <v>417</v>
      </c>
      <c r="C93" s="18" t="s">
        <v>416</v>
      </c>
      <c r="D93" s="18" t="s">
        <v>600</v>
      </c>
      <c r="E93" s="18" t="s">
        <v>150</v>
      </c>
      <c r="F93" s="18" t="s">
        <v>124</v>
      </c>
      <c r="G93" s="18">
        <v>34</v>
      </c>
      <c r="H93" s="18" t="s">
        <v>127</v>
      </c>
      <c r="I93" s="18" t="s">
        <v>149</v>
      </c>
      <c r="J93" s="18" t="s">
        <v>16</v>
      </c>
      <c r="K93" s="18" t="s">
        <v>24</v>
      </c>
      <c r="L93" s="18" t="s">
        <v>18</v>
      </c>
      <c r="M93" s="18" t="s">
        <v>19</v>
      </c>
      <c r="N93" s="18" t="s">
        <v>206</v>
      </c>
      <c r="O93" s="18" t="s">
        <v>418</v>
      </c>
      <c r="P93" s="18" t="s">
        <v>419</v>
      </c>
      <c r="Q93" s="18" t="s">
        <v>721</v>
      </c>
      <c r="R93" s="18" t="s">
        <v>719</v>
      </c>
    </row>
    <row r="94" spans="2:18" x14ac:dyDescent="0.35">
      <c r="B94" s="17" t="s">
        <v>422</v>
      </c>
      <c r="C94" s="17" t="s">
        <v>420</v>
      </c>
      <c r="D94" s="17" t="s">
        <v>421</v>
      </c>
      <c r="E94" s="17" t="s">
        <v>126</v>
      </c>
      <c r="F94" s="17" t="s">
        <v>124</v>
      </c>
      <c r="G94" s="17">
        <v>56</v>
      </c>
      <c r="H94" s="17" t="s">
        <v>127</v>
      </c>
      <c r="I94" s="17" t="s">
        <v>145</v>
      </c>
      <c r="J94" s="17" t="s">
        <v>16</v>
      </c>
      <c r="K94" s="17" t="s">
        <v>89</v>
      </c>
      <c r="L94" s="17" t="s">
        <v>18</v>
      </c>
      <c r="M94" s="17" t="s">
        <v>19</v>
      </c>
      <c r="N94" s="17" t="s">
        <v>12</v>
      </c>
      <c r="O94" s="17" t="s">
        <v>423</v>
      </c>
      <c r="P94" s="17" t="s">
        <v>424</v>
      </c>
      <c r="Q94" s="17" t="s">
        <v>718</v>
      </c>
      <c r="R94" s="17" t="s">
        <v>719</v>
      </c>
    </row>
    <row r="95" spans="2:18" x14ac:dyDescent="0.35">
      <c r="B95" s="18" t="s">
        <v>426</v>
      </c>
      <c r="C95" s="18" t="s">
        <v>425</v>
      </c>
      <c r="D95" s="18" t="s">
        <v>699</v>
      </c>
      <c r="E95" s="18" t="s">
        <v>126</v>
      </c>
      <c r="F95" s="18" t="s">
        <v>124</v>
      </c>
      <c r="G95" s="18">
        <v>50</v>
      </c>
      <c r="H95" s="18" t="s">
        <v>127</v>
      </c>
      <c r="I95" s="18" t="s">
        <v>145</v>
      </c>
      <c r="J95" s="18" t="s">
        <v>16</v>
      </c>
      <c r="K95" s="18" t="s">
        <v>89</v>
      </c>
      <c r="L95" s="18" t="s">
        <v>18</v>
      </c>
      <c r="M95" s="18" t="s">
        <v>25</v>
      </c>
      <c r="N95" s="18" t="s">
        <v>350</v>
      </c>
      <c r="O95" s="18" t="s">
        <v>427</v>
      </c>
      <c r="P95" s="18" t="s">
        <v>428</v>
      </c>
      <c r="Q95" s="18" t="s">
        <v>720</v>
      </c>
      <c r="R95" s="18" t="s">
        <v>719</v>
      </c>
    </row>
    <row r="96" spans="2:18" x14ac:dyDescent="0.35">
      <c r="B96" s="17" t="s">
        <v>431</v>
      </c>
      <c r="C96" s="17" t="s">
        <v>429</v>
      </c>
      <c r="D96" s="17" t="s">
        <v>253</v>
      </c>
      <c r="E96" s="17" t="s">
        <v>150</v>
      </c>
      <c r="F96" s="17" t="s">
        <v>124</v>
      </c>
      <c r="G96" s="17">
        <v>25</v>
      </c>
      <c r="H96" s="17" t="s">
        <v>127</v>
      </c>
      <c r="I96" s="17" t="s">
        <v>125</v>
      </c>
      <c r="J96" s="17" t="s">
        <v>16</v>
      </c>
      <c r="K96" s="17" t="s">
        <v>85</v>
      </c>
      <c r="L96" s="17" t="s">
        <v>18</v>
      </c>
      <c r="M96" s="17" t="s">
        <v>19</v>
      </c>
      <c r="N96" s="17" t="s">
        <v>206</v>
      </c>
      <c r="O96" s="17" t="s">
        <v>432</v>
      </c>
      <c r="P96" s="17" t="s">
        <v>433</v>
      </c>
      <c r="Q96" s="17" t="s">
        <v>724</v>
      </c>
      <c r="R96" s="17" t="s">
        <v>719</v>
      </c>
    </row>
    <row r="97" spans="2:18" x14ac:dyDescent="0.35">
      <c r="B97" s="18" t="s">
        <v>435</v>
      </c>
      <c r="C97" s="18" t="s">
        <v>386</v>
      </c>
      <c r="D97" s="18" t="s">
        <v>434</v>
      </c>
      <c r="E97" s="18" t="s">
        <v>126</v>
      </c>
      <c r="F97" s="18" t="s">
        <v>124</v>
      </c>
      <c r="G97" s="18">
        <v>47</v>
      </c>
      <c r="H97" s="18" t="s">
        <v>127</v>
      </c>
      <c r="I97" s="18" t="s">
        <v>125</v>
      </c>
      <c r="J97" s="18" t="s">
        <v>205</v>
      </c>
      <c r="K97" s="18" t="s">
        <v>85</v>
      </c>
      <c r="L97" s="18" t="s">
        <v>18</v>
      </c>
      <c r="M97" s="18" t="s">
        <v>11</v>
      </c>
      <c r="N97" s="18" t="s">
        <v>35</v>
      </c>
      <c r="O97" s="18" t="s">
        <v>436</v>
      </c>
      <c r="P97" s="18" t="s">
        <v>437</v>
      </c>
      <c r="Q97" s="18" t="s">
        <v>720</v>
      </c>
      <c r="R97" s="18" t="s">
        <v>719</v>
      </c>
    </row>
    <row r="98" spans="2:18" x14ac:dyDescent="0.35">
      <c r="B98" s="17" t="s">
        <v>439</v>
      </c>
      <c r="C98" s="17" t="s">
        <v>438</v>
      </c>
      <c r="D98" s="17" t="s">
        <v>324</v>
      </c>
      <c r="E98" s="17" t="s">
        <v>150</v>
      </c>
      <c r="F98" s="17" t="s">
        <v>139</v>
      </c>
      <c r="G98" s="17">
        <v>39</v>
      </c>
      <c r="H98" s="17" t="s">
        <v>127</v>
      </c>
      <c r="I98" s="17" t="s">
        <v>125</v>
      </c>
      <c r="J98" s="17" t="s">
        <v>62</v>
      </c>
      <c r="K98" s="17" t="s">
        <v>85</v>
      </c>
      <c r="L98" s="17" t="s">
        <v>18</v>
      </c>
      <c r="M98" s="17" t="s">
        <v>19</v>
      </c>
      <c r="N98" s="17" t="s">
        <v>12</v>
      </c>
      <c r="O98" s="17" t="s">
        <v>440</v>
      </c>
      <c r="P98" s="17" t="s">
        <v>441</v>
      </c>
      <c r="Q98" s="17" t="s">
        <v>721</v>
      </c>
      <c r="R98" s="17" t="s">
        <v>719</v>
      </c>
    </row>
    <row r="99" spans="2:18" x14ac:dyDescent="0.35">
      <c r="B99" s="18" t="s">
        <v>443</v>
      </c>
      <c r="C99" s="18" t="s">
        <v>442</v>
      </c>
      <c r="D99" s="18" t="s">
        <v>358</v>
      </c>
      <c r="E99" s="18" t="s">
        <v>150</v>
      </c>
      <c r="F99" s="18" t="s">
        <v>124</v>
      </c>
      <c r="G99" s="18">
        <v>49</v>
      </c>
      <c r="H99" s="18" t="s">
        <v>127</v>
      </c>
      <c r="I99" s="18" t="s">
        <v>125</v>
      </c>
      <c r="J99" s="18" t="s">
        <v>16</v>
      </c>
      <c r="K99" s="18" t="s">
        <v>34</v>
      </c>
      <c r="L99" s="18" t="s">
        <v>18</v>
      </c>
      <c r="M99" s="18" t="s">
        <v>25</v>
      </c>
      <c r="N99" s="18" t="s">
        <v>35</v>
      </c>
      <c r="O99" s="18" t="s">
        <v>444</v>
      </c>
      <c r="P99" s="18" t="s">
        <v>445</v>
      </c>
      <c r="Q99" s="18" t="s">
        <v>720</v>
      </c>
      <c r="R99" s="18" t="s">
        <v>719</v>
      </c>
    </row>
    <row r="100" spans="2:18" x14ac:dyDescent="0.35">
      <c r="B100" s="17" t="s">
        <v>446</v>
      </c>
      <c r="C100" s="17" t="s">
        <v>430</v>
      </c>
      <c r="D100" s="17" t="s">
        <v>700</v>
      </c>
      <c r="E100" s="17" t="s">
        <v>126</v>
      </c>
      <c r="F100" s="17" t="s">
        <v>124</v>
      </c>
      <c r="G100" s="17">
        <v>48</v>
      </c>
      <c r="H100" s="17" t="s">
        <v>127</v>
      </c>
      <c r="I100" s="17" t="s">
        <v>125</v>
      </c>
      <c r="J100" s="17" t="s">
        <v>62</v>
      </c>
      <c r="K100" s="17" t="s">
        <v>24</v>
      </c>
      <c r="L100" s="17" t="s">
        <v>18</v>
      </c>
      <c r="M100" s="17" t="s">
        <v>19</v>
      </c>
      <c r="N100" s="17" t="s">
        <v>12</v>
      </c>
      <c r="O100" s="17" t="s">
        <v>447</v>
      </c>
      <c r="P100" s="17" t="s">
        <v>448</v>
      </c>
      <c r="Q100" s="17" t="s">
        <v>720</v>
      </c>
      <c r="R100" s="17" t="s">
        <v>719</v>
      </c>
    </row>
    <row r="101" spans="2:18" x14ac:dyDescent="0.35">
      <c r="B101" s="18" t="s">
        <v>451</v>
      </c>
      <c r="C101" s="18" t="s">
        <v>449</v>
      </c>
      <c r="D101" s="18" t="s">
        <v>450</v>
      </c>
      <c r="E101" s="18" t="s">
        <v>150</v>
      </c>
      <c r="F101" s="18" t="s">
        <v>124</v>
      </c>
      <c r="G101" s="18">
        <v>53</v>
      </c>
      <c r="H101" s="18" t="s">
        <v>127</v>
      </c>
      <c r="I101" s="18" t="s">
        <v>125</v>
      </c>
      <c r="J101" s="18" t="s">
        <v>62</v>
      </c>
      <c r="K101" s="18" t="s">
        <v>85</v>
      </c>
      <c r="L101" s="18" t="s">
        <v>18</v>
      </c>
      <c r="M101" s="18" t="s">
        <v>25</v>
      </c>
      <c r="N101" s="18" t="s">
        <v>35</v>
      </c>
      <c r="O101" s="18" t="s">
        <v>452</v>
      </c>
      <c r="P101" s="18" t="s">
        <v>453</v>
      </c>
      <c r="Q101" s="18" t="s">
        <v>718</v>
      </c>
      <c r="R101" s="18" t="s">
        <v>719</v>
      </c>
    </row>
    <row r="102" spans="2:18" x14ac:dyDescent="0.35">
      <c r="B102" s="17" t="s">
        <v>456</v>
      </c>
      <c r="C102" s="17" t="s">
        <v>454</v>
      </c>
      <c r="D102" s="17" t="s">
        <v>455</v>
      </c>
      <c r="E102" s="17" t="s">
        <v>126</v>
      </c>
      <c r="F102" s="17" t="s">
        <v>124</v>
      </c>
      <c r="G102" s="17">
        <v>49</v>
      </c>
      <c r="H102" s="17" t="s">
        <v>127</v>
      </c>
      <c r="I102" s="17" t="s">
        <v>125</v>
      </c>
      <c r="J102" s="17" t="s">
        <v>16</v>
      </c>
      <c r="K102" s="17" t="s">
        <v>17</v>
      </c>
      <c r="L102" s="17" t="s">
        <v>18</v>
      </c>
      <c r="M102" s="17" t="s">
        <v>25</v>
      </c>
      <c r="N102" s="17" t="s">
        <v>35</v>
      </c>
      <c r="O102" s="17" t="s">
        <v>457</v>
      </c>
      <c r="P102" s="17" t="s">
        <v>458</v>
      </c>
      <c r="Q102" s="17" t="s">
        <v>720</v>
      </c>
      <c r="R102" s="17" t="s">
        <v>719</v>
      </c>
    </row>
    <row r="103" spans="2:18" x14ac:dyDescent="0.35">
      <c r="B103" s="18" t="s">
        <v>460</v>
      </c>
      <c r="C103" s="18" t="s">
        <v>459</v>
      </c>
      <c r="D103" s="18" t="s">
        <v>354</v>
      </c>
      <c r="E103" s="18" t="s">
        <v>126</v>
      </c>
      <c r="F103" s="18" t="s">
        <v>124</v>
      </c>
      <c r="G103" s="18">
        <v>58</v>
      </c>
      <c r="H103" s="18" t="s">
        <v>127</v>
      </c>
      <c r="I103" s="18" t="s">
        <v>125</v>
      </c>
      <c r="J103" s="18" t="s">
        <v>62</v>
      </c>
      <c r="K103" s="18" t="s">
        <v>17</v>
      </c>
      <c r="L103" s="18" t="s">
        <v>18</v>
      </c>
      <c r="M103" s="18" t="s">
        <v>25</v>
      </c>
      <c r="N103" s="18" t="s">
        <v>35</v>
      </c>
      <c r="O103" s="18" t="s">
        <v>461</v>
      </c>
      <c r="P103" s="18" t="s">
        <v>462</v>
      </c>
      <c r="Q103" s="18" t="s">
        <v>718</v>
      </c>
      <c r="R103" s="18" t="s">
        <v>719</v>
      </c>
    </row>
    <row r="104" spans="2:18" x14ac:dyDescent="0.35">
      <c r="B104" s="17" t="s">
        <v>463</v>
      </c>
      <c r="C104" s="17" t="s">
        <v>227</v>
      </c>
      <c r="D104" s="17" t="s">
        <v>232</v>
      </c>
      <c r="E104" s="17" t="s">
        <v>126</v>
      </c>
      <c r="F104" s="17" t="s">
        <v>124</v>
      </c>
      <c r="G104" s="17">
        <v>54</v>
      </c>
      <c r="H104" s="17" t="s">
        <v>127</v>
      </c>
      <c r="I104" s="17" t="s">
        <v>125</v>
      </c>
      <c r="J104" s="17" t="s">
        <v>62</v>
      </c>
      <c r="K104" s="17" t="s">
        <v>10</v>
      </c>
      <c r="L104" s="17" t="s">
        <v>10</v>
      </c>
      <c r="M104" s="17" t="s">
        <v>25</v>
      </c>
      <c r="N104" s="17" t="s">
        <v>35</v>
      </c>
      <c r="O104" s="17" t="s">
        <v>464</v>
      </c>
      <c r="P104" s="17" t="s">
        <v>465</v>
      </c>
      <c r="Q104" s="17" t="s">
        <v>718</v>
      </c>
      <c r="R104" s="17" t="s">
        <v>719</v>
      </c>
    </row>
    <row r="105" spans="2:18" x14ac:dyDescent="0.35">
      <c r="B105" s="18" t="s">
        <v>467</v>
      </c>
      <c r="C105" s="18" t="s">
        <v>177</v>
      </c>
      <c r="D105" s="18" t="s">
        <v>466</v>
      </c>
      <c r="E105" s="18" t="s">
        <v>126</v>
      </c>
      <c r="F105" s="18" t="s">
        <v>124</v>
      </c>
      <c r="G105" s="18">
        <v>48</v>
      </c>
      <c r="H105" s="18" t="s">
        <v>127</v>
      </c>
      <c r="I105" s="18" t="s">
        <v>149</v>
      </c>
      <c r="J105" s="18" t="s">
        <v>16</v>
      </c>
      <c r="K105" s="18" t="s">
        <v>85</v>
      </c>
      <c r="L105" s="18" t="s">
        <v>18</v>
      </c>
      <c r="M105" s="18" t="s">
        <v>25</v>
      </c>
      <c r="N105" s="18" t="s">
        <v>26</v>
      </c>
      <c r="O105" s="18" t="s">
        <v>468</v>
      </c>
      <c r="P105" s="18" t="s">
        <v>469</v>
      </c>
      <c r="Q105" s="18" t="s">
        <v>720</v>
      </c>
      <c r="R105" s="18" t="s">
        <v>719</v>
      </c>
    </row>
    <row r="106" spans="2:18" x14ac:dyDescent="0.35">
      <c r="B106" s="17" t="s">
        <v>472</v>
      </c>
      <c r="C106" s="17" t="s">
        <v>470</v>
      </c>
      <c r="D106" s="17" t="s">
        <v>471</v>
      </c>
      <c r="E106" s="17" t="s">
        <v>126</v>
      </c>
      <c r="F106" s="17" t="s">
        <v>124</v>
      </c>
      <c r="G106" s="17">
        <v>25</v>
      </c>
      <c r="H106" s="17" t="s">
        <v>127</v>
      </c>
      <c r="I106" s="17" t="s">
        <v>125</v>
      </c>
      <c r="J106" s="17" t="s">
        <v>16</v>
      </c>
      <c r="K106" s="17" t="s">
        <v>34</v>
      </c>
      <c r="L106" s="17" t="s">
        <v>18</v>
      </c>
      <c r="M106" s="17" t="s">
        <v>25</v>
      </c>
      <c r="N106" s="17" t="s">
        <v>35</v>
      </c>
      <c r="O106" s="17" t="s">
        <v>473</v>
      </c>
      <c r="P106" s="17" t="s">
        <v>474</v>
      </c>
      <c r="Q106" s="17" t="s">
        <v>724</v>
      </c>
      <c r="R106" s="17" t="s">
        <v>719</v>
      </c>
    </row>
    <row r="107" spans="2:18" x14ac:dyDescent="0.35">
      <c r="B107" s="18" t="s">
        <v>476</v>
      </c>
      <c r="C107" s="18" t="s">
        <v>475</v>
      </c>
      <c r="D107" s="18" t="s">
        <v>701</v>
      </c>
      <c r="E107" s="18" t="s">
        <v>126</v>
      </c>
      <c r="F107" s="18" t="s">
        <v>124</v>
      </c>
      <c r="G107" s="18">
        <v>56</v>
      </c>
      <c r="H107" s="18" t="s">
        <v>127</v>
      </c>
      <c r="I107" s="18" t="s">
        <v>125</v>
      </c>
      <c r="J107" s="18" t="s">
        <v>62</v>
      </c>
      <c r="K107" s="18" t="s">
        <v>85</v>
      </c>
      <c r="L107" s="18" t="s">
        <v>18</v>
      </c>
      <c r="M107" s="18" t="s">
        <v>19</v>
      </c>
      <c r="N107" s="18" t="s">
        <v>12</v>
      </c>
      <c r="O107" s="18" t="s">
        <v>477</v>
      </c>
      <c r="P107" s="18" t="s">
        <v>478</v>
      </c>
      <c r="Q107" s="18" t="s">
        <v>718</v>
      </c>
      <c r="R107" s="18" t="s">
        <v>719</v>
      </c>
    </row>
    <row r="108" spans="2:18" x14ac:dyDescent="0.35">
      <c r="B108" s="17" t="s">
        <v>480</v>
      </c>
      <c r="C108" s="17" t="s">
        <v>682</v>
      </c>
      <c r="D108" s="17" t="s">
        <v>479</v>
      </c>
      <c r="E108" s="17" t="s">
        <v>126</v>
      </c>
      <c r="F108" s="17" t="s">
        <v>139</v>
      </c>
      <c r="G108" s="17">
        <v>25</v>
      </c>
      <c r="H108" s="17" t="s">
        <v>127</v>
      </c>
      <c r="I108" s="17" t="s">
        <v>125</v>
      </c>
      <c r="J108" s="17" t="s">
        <v>62</v>
      </c>
      <c r="K108" s="17" t="s">
        <v>24</v>
      </c>
      <c r="L108" s="17" t="s">
        <v>18</v>
      </c>
      <c r="M108" s="17" t="s">
        <v>19</v>
      </c>
      <c r="N108" s="17" t="s">
        <v>12</v>
      </c>
      <c r="O108" s="17" t="s">
        <v>481</v>
      </c>
      <c r="P108" s="17" t="s">
        <v>482</v>
      </c>
      <c r="Q108" s="17" t="s">
        <v>724</v>
      </c>
      <c r="R108" s="17" t="s">
        <v>719</v>
      </c>
    </row>
    <row r="109" spans="2:18" x14ac:dyDescent="0.35">
      <c r="B109" s="18" t="s">
        <v>485</v>
      </c>
      <c r="C109" s="18" t="s">
        <v>483</v>
      </c>
      <c r="D109" s="18" t="s">
        <v>484</v>
      </c>
      <c r="E109" s="18" t="s">
        <v>126</v>
      </c>
      <c r="F109" s="18" t="s">
        <v>124</v>
      </c>
      <c r="G109" s="18">
        <v>66</v>
      </c>
      <c r="H109" s="18" t="s">
        <v>127</v>
      </c>
      <c r="I109" s="18" t="s">
        <v>125</v>
      </c>
      <c r="J109" s="18" t="s">
        <v>185</v>
      </c>
      <c r="K109" s="18" t="s">
        <v>34</v>
      </c>
      <c r="L109" s="18" t="s">
        <v>18</v>
      </c>
      <c r="M109" s="18" t="s">
        <v>25</v>
      </c>
      <c r="N109" s="18" t="s">
        <v>35</v>
      </c>
      <c r="O109" s="18" t="s">
        <v>486</v>
      </c>
      <c r="P109" s="18" t="s">
        <v>487</v>
      </c>
      <c r="Q109" s="18" t="s">
        <v>722</v>
      </c>
      <c r="R109" s="18" t="s">
        <v>723</v>
      </c>
    </row>
    <row r="110" spans="2:18" x14ac:dyDescent="0.35">
      <c r="B110" s="17" t="s">
        <v>489</v>
      </c>
      <c r="C110" s="17" t="s">
        <v>488</v>
      </c>
      <c r="D110" s="17" t="s">
        <v>214</v>
      </c>
      <c r="E110" s="17" t="s">
        <v>126</v>
      </c>
      <c r="F110" s="17" t="s">
        <v>124</v>
      </c>
      <c r="G110" s="17">
        <v>46</v>
      </c>
      <c r="H110" s="17" t="s">
        <v>127</v>
      </c>
      <c r="I110" s="17" t="s">
        <v>125</v>
      </c>
      <c r="J110" s="17" t="s">
        <v>62</v>
      </c>
      <c r="K110" s="17" t="s">
        <v>10</v>
      </c>
      <c r="L110" s="17" t="s">
        <v>10</v>
      </c>
      <c r="M110" s="17" t="s">
        <v>25</v>
      </c>
      <c r="N110" s="17" t="s">
        <v>35</v>
      </c>
      <c r="O110" s="17" t="s">
        <v>490</v>
      </c>
      <c r="P110" s="17" t="s">
        <v>491</v>
      </c>
      <c r="Q110" s="17" t="s">
        <v>720</v>
      </c>
      <c r="R110" s="17" t="s">
        <v>719</v>
      </c>
    </row>
    <row r="111" spans="2:18" x14ac:dyDescent="0.35">
      <c r="B111" s="18" t="s">
        <v>493</v>
      </c>
      <c r="C111" s="18" t="s">
        <v>492</v>
      </c>
      <c r="D111" s="18" t="s">
        <v>249</v>
      </c>
      <c r="E111" s="18" t="s">
        <v>150</v>
      </c>
      <c r="F111" s="18" t="s">
        <v>124</v>
      </c>
      <c r="G111" s="18">
        <v>41</v>
      </c>
      <c r="H111" s="18" t="s">
        <v>127</v>
      </c>
      <c r="I111" s="18" t="s">
        <v>125</v>
      </c>
      <c r="J111" s="18" t="s">
        <v>62</v>
      </c>
      <c r="K111" s="18" t="s">
        <v>24</v>
      </c>
      <c r="L111" s="18" t="s">
        <v>18</v>
      </c>
      <c r="M111" s="18" t="s">
        <v>19</v>
      </c>
      <c r="N111" s="18" t="s">
        <v>12</v>
      </c>
      <c r="O111" s="18" t="s">
        <v>494</v>
      </c>
      <c r="P111" s="18" t="s">
        <v>495</v>
      </c>
      <c r="Q111" s="18" t="s">
        <v>721</v>
      </c>
      <c r="R111" s="18" t="s">
        <v>719</v>
      </c>
    </row>
    <row r="112" spans="2:18" x14ac:dyDescent="0.35">
      <c r="B112" s="17" t="s">
        <v>497</v>
      </c>
      <c r="C112" s="17" t="s">
        <v>496</v>
      </c>
      <c r="D112" s="17" t="s">
        <v>165</v>
      </c>
      <c r="E112" s="17" t="s">
        <v>126</v>
      </c>
      <c r="F112" s="17" t="s">
        <v>124</v>
      </c>
      <c r="G112" s="17">
        <v>46</v>
      </c>
      <c r="H112" s="17" t="s">
        <v>127</v>
      </c>
      <c r="I112" s="17" t="s">
        <v>125</v>
      </c>
      <c r="J112" s="17" t="s">
        <v>62</v>
      </c>
      <c r="K112" s="17" t="s">
        <v>85</v>
      </c>
      <c r="L112" s="17" t="s">
        <v>18</v>
      </c>
      <c r="M112" s="17" t="s">
        <v>25</v>
      </c>
      <c r="N112" s="17" t="s">
        <v>35</v>
      </c>
      <c r="O112" s="17" t="s">
        <v>498</v>
      </c>
      <c r="P112" s="17" t="s">
        <v>499</v>
      </c>
      <c r="Q112" s="17" t="s">
        <v>720</v>
      </c>
      <c r="R112" s="17" t="s">
        <v>719</v>
      </c>
    </row>
    <row r="113" spans="2:18" x14ac:dyDescent="0.35">
      <c r="B113" s="18" t="s">
        <v>502</v>
      </c>
      <c r="C113" s="18" t="s">
        <v>500</v>
      </c>
      <c r="D113" s="18" t="s">
        <v>501</v>
      </c>
      <c r="E113" s="18" t="s">
        <v>150</v>
      </c>
      <c r="F113" s="18" t="s">
        <v>124</v>
      </c>
      <c r="G113" s="18">
        <v>44</v>
      </c>
      <c r="H113" s="18" t="s">
        <v>127</v>
      </c>
      <c r="I113" s="18" t="s">
        <v>149</v>
      </c>
      <c r="J113" s="18" t="s">
        <v>62</v>
      </c>
      <c r="K113" s="18" t="s">
        <v>24</v>
      </c>
      <c r="L113" s="18" t="s">
        <v>18</v>
      </c>
      <c r="M113" s="18" t="s">
        <v>25</v>
      </c>
      <c r="N113" s="18" t="s">
        <v>35</v>
      </c>
      <c r="O113" s="18" t="s">
        <v>503</v>
      </c>
      <c r="P113" s="18" t="s">
        <v>504</v>
      </c>
      <c r="Q113" s="18" t="s">
        <v>720</v>
      </c>
      <c r="R113" s="18" t="s">
        <v>719</v>
      </c>
    </row>
    <row r="114" spans="2:18" x14ac:dyDescent="0.35">
      <c r="B114" s="17" t="s">
        <v>507</v>
      </c>
      <c r="C114" s="17" t="s">
        <v>505</v>
      </c>
      <c r="D114" s="17" t="s">
        <v>506</v>
      </c>
      <c r="E114" s="17" t="s">
        <v>150</v>
      </c>
      <c r="F114" s="17" t="s">
        <v>124</v>
      </c>
      <c r="G114" s="17">
        <v>28</v>
      </c>
      <c r="H114" s="17" t="s">
        <v>127</v>
      </c>
      <c r="I114" s="17" t="s">
        <v>125</v>
      </c>
      <c r="J114" s="17" t="s">
        <v>62</v>
      </c>
      <c r="K114" s="17" t="s">
        <v>24</v>
      </c>
      <c r="L114" s="17" t="s">
        <v>18</v>
      </c>
      <c r="M114" s="17" t="s">
        <v>25</v>
      </c>
      <c r="N114" s="17" t="s">
        <v>35</v>
      </c>
      <c r="O114" s="17" t="s">
        <v>509</v>
      </c>
      <c r="P114" s="17" t="s">
        <v>510</v>
      </c>
      <c r="Q114" s="17" t="s">
        <v>724</v>
      </c>
      <c r="R114" s="17" t="s">
        <v>719</v>
      </c>
    </row>
    <row r="115" spans="2:18" x14ac:dyDescent="0.35">
      <c r="B115" s="18" t="s">
        <v>512</v>
      </c>
      <c r="C115" s="18" t="s">
        <v>511</v>
      </c>
      <c r="D115" s="18" t="s">
        <v>702</v>
      </c>
      <c r="E115" s="18" t="s">
        <v>150</v>
      </c>
      <c r="F115" s="18" t="s">
        <v>124</v>
      </c>
      <c r="G115" s="18">
        <v>29</v>
      </c>
      <c r="H115" s="18" t="s">
        <v>127</v>
      </c>
      <c r="I115" s="18" t="s">
        <v>125</v>
      </c>
      <c r="J115" s="18" t="s">
        <v>62</v>
      </c>
      <c r="K115" s="18" t="s">
        <v>34</v>
      </c>
      <c r="L115" s="18" t="s">
        <v>18</v>
      </c>
      <c r="M115" s="18" t="s">
        <v>19</v>
      </c>
      <c r="N115" s="18" t="s">
        <v>12</v>
      </c>
      <c r="O115" s="18" t="s">
        <v>513</v>
      </c>
      <c r="P115" s="18" t="s">
        <v>514</v>
      </c>
      <c r="Q115" s="18" t="s">
        <v>724</v>
      </c>
      <c r="R115" s="18" t="s">
        <v>719</v>
      </c>
    </row>
    <row r="116" spans="2:18" x14ac:dyDescent="0.35">
      <c r="B116" s="17" t="s">
        <v>517</v>
      </c>
      <c r="C116" s="17" t="s">
        <v>515</v>
      </c>
      <c r="D116" s="17" t="s">
        <v>516</v>
      </c>
      <c r="E116" s="17" t="s">
        <v>150</v>
      </c>
      <c r="F116" s="17" t="s">
        <v>124</v>
      </c>
      <c r="G116" s="17">
        <v>44</v>
      </c>
      <c r="H116" s="17" t="s">
        <v>127</v>
      </c>
      <c r="I116" s="17" t="s">
        <v>125</v>
      </c>
      <c r="J116" s="17" t="s">
        <v>185</v>
      </c>
      <c r="K116" s="17" t="s">
        <v>34</v>
      </c>
      <c r="L116" s="17" t="s">
        <v>18</v>
      </c>
      <c r="M116" s="17" t="s">
        <v>19</v>
      </c>
      <c r="N116" s="17" t="s">
        <v>35</v>
      </c>
      <c r="O116" s="17" t="s">
        <v>518</v>
      </c>
      <c r="P116" s="17" t="s">
        <v>519</v>
      </c>
      <c r="Q116" s="17" t="s">
        <v>720</v>
      </c>
      <c r="R116" s="17" t="s">
        <v>719</v>
      </c>
    </row>
    <row r="117" spans="2:18" x14ac:dyDescent="0.35">
      <c r="B117" s="18" t="s">
        <v>522</v>
      </c>
      <c r="C117" s="18" t="s">
        <v>520</v>
      </c>
      <c r="D117" s="18" t="s">
        <v>521</v>
      </c>
      <c r="E117" s="18" t="s">
        <v>150</v>
      </c>
      <c r="F117" s="18" t="s">
        <v>139</v>
      </c>
      <c r="G117" s="18">
        <v>53</v>
      </c>
      <c r="H117" s="18" t="s">
        <v>127</v>
      </c>
      <c r="I117" s="18" t="s">
        <v>125</v>
      </c>
      <c r="J117" s="18" t="s">
        <v>62</v>
      </c>
      <c r="K117" s="18" t="s">
        <v>85</v>
      </c>
      <c r="L117" s="18" t="s">
        <v>18</v>
      </c>
      <c r="M117" s="18" t="s">
        <v>25</v>
      </c>
      <c r="N117" s="18" t="s">
        <v>35</v>
      </c>
      <c r="O117" s="18" t="s">
        <v>523</v>
      </c>
      <c r="P117" s="18" t="s">
        <v>524</v>
      </c>
      <c r="Q117" s="18" t="s">
        <v>718</v>
      </c>
      <c r="R117" s="18" t="s">
        <v>719</v>
      </c>
    </row>
    <row r="118" spans="2:18" x14ac:dyDescent="0.35">
      <c r="B118" s="17" t="s">
        <v>527</v>
      </c>
      <c r="C118" s="17" t="s">
        <v>525</v>
      </c>
      <c r="D118" s="17" t="s">
        <v>526</v>
      </c>
      <c r="E118" s="17" t="s">
        <v>150</v>
      </c>
      <c r="F118" s="17" t="s">
        <v>124</v>
      </c>
      <c r="G118" s="17">
        <v>48</v>
      </c>
      <c r="H118" s="17" t="s">
        <v>127</v>
      </c>
      <c r="I118" s="17" t="s">
        <v>149</v>
      </c>
      <c r="J118" s="17" t="s">
        <v>62</v>
      </c>
      <c r="K118" s="17" t="s">
        <v>24</v>
      </c>
      <c r="L118" s="17" t="s">
        <v>18</v>
      </c>
      <c r="M118" s="17" t="s">
        <v>25</v>
      </c>
      <c r="N118" s="17" t="s">
        <v>35</v>
      </c>
      <c r="O118" s="17" t="s">
        <v>528</v>
      </c>
      <c r="P118" s="17" t="s">
        <v>529</v>
      </c>
      <c r="Q118" s="17" t="s">
        <v>720</v>
      </c>
      <c r="R118" s="17" t="s">
        <v>719</v>
      </c>
    </row>
    <row r="119" spans="2:18" x14ac:dyDescent="0.35">
      <c r="B119" s="18" t="s">
        <v>532</v>
      </c>
      <c r="C119" s="18" t="s">
        <v>530</v>
      </c>
      <c r="D119" s="18" t="s">
        <v>531</v>
      </c>
      <c r="E119" s="18" t="s">
        <v>150</v>
      </c>
      <c r="F119" s="18" t="s">
        <v>124</v>
      </c>
      <c r="G119" s="18">
        <v>26</v>
      </c>
      <c r="H119" s="18" t="s">
        <v>127</v>
      </c>
      <c r="I119" s="18" t="s">
        <v>125</v>
      </c>
      <c r="J119" s="18" t="s">
        <v>185</v>
      </c>
      <c r="K119" s="18" t="s">
        <v>34</v>
      </c>
      <c r="L119" s="18" t="s">
        <v>18</v>
      </c>
      <c r="M119" s="18" t="s">
        <v>19</v>
      </c>
      <c r="N119" s="18" t="s">
        <v>35</v>
      </c>
      <c r="O119" s="18" t="s">
        <v>533</v>
      </c>
      <c r="P119" s="18" t="s">
        <v>77</v>
      </c>
      <c r="Q119" s="18" t="s">
        <v>724</v>
      </c>
      <c r="R119" s="18" t="s">
        <v>719</v>
      </c>
    </row>
    <row r="120" spans="2:18" x14ac:dyDescent="0.35">
      <c r="B120" s="17" t="s">
        <v>536</v>
      </c>
      <c r="C120" s="17" t="s">
        <v>534</v>
      </c>
      <c r="D120" s="17" t="s">
        <v>535</v>
      </c>
      <c r="E120" s="17" t="s">
        <v>150</v>
      </c>
      <c r="F120" s="17" t="s">
        <v>124</v>
      </c>
      <c r="G120" s="17">
        <v>63</v>
      </c>
      <c r="H120" s="17" t="s">
        <v>127</v>
      </c>
      <c r="I120" s="17" t="s">
        <v>125</v>
      </c>
      <c r="J120" s="17" t="s">
        <v>62</v>
      </c>
      <c r="K120" s="17" t="s">
        <v>24</v>
      </c>
      <c r="L120" s="17" t="s">
        <v>18</v>
      </c>
      <c r="M120" s="17" t="s">
        <v>25</v>
      </c>
      <c r="N120" s="17" t="s">
        <v>35</v>
      </c>
      <c r="O120" s="17" t="s">
        <v>537</v>
      </c>
      <c r="P120" s="17" t="s">
        <v>538</v>
      </c>
      <c r="Q120" s="17" t="s">
        <v>718</v>
      </c>
      <c r="R120" s="17" t="s">
        <v>719</v>
      </c>
    </row>
    <row r="121" spans="2:18" x14ac:dyDescent="0.35">
      <c r="B121" s="18" t="s">
        <v>541</v>
      </c>
      <c r="C121" s="18" t="s">
        <v>539</v>
      </c>
      <c r="D121" s="18" t="s">
        <v>540</v>
      </c>
      <c r="E121" s="18" t="s">
        <v>150</v>
      </c>
      <c r="F121" s="18" t="s">
        <v>124</v>
      </c>
      <c r="G121" s="18">
        <v>35</v>
      </c>
      <c r="H121" s="18" t="s">
        <v>127</v>
      </c>
      <c r="I121" s="18" t="s">
        <v>125</v>
      </c>
      <c r="J121" s="18" t="s">
        <v>62</v>
      </c>
      <c r="K121" s="18" t="s">
        <v>34</v>
      </c>
      <c r="L121" s="18" t="s">
        <v>18</v>
      </c>
      <c r="M121" s="18" t="s">
        <v>19</v>
      </c>
      <c r="N121" s="18" t="s">
        <v>12</v>
      </c>
      <c r="O121" s="18" t="s">
        <v>542</v>
      </c>
      <c r="P121" s="18" t="s">
        <v>543</v>
      </c>
      <c r="Q121" s="18" t="s">
        <v>721</v>
      </c>
      <c r="R121" s="18" t="s">
        <v>719</v>
      </c>
    </row>
    <row r="122" spans="2:18" x14ac:dyDescent="0.35">
      <c r="B122" s="17" t="s">
        <v>546</v>
      </c>
      <c r="C122" s="17" t="s">
        <v>544</v>
      </c>
      <c r="D122" s="17" t="s">
        <v>545</v>
      </c>
      <c r="E122" s="17" t="s">
        <v>126</v>
      </c>
      <c r="F122" s="17" t="s">
        <v>124</v>
      </c>
      <c r="G122" s="17">
        <v>68</v>
      </c>
      <c r="H122" s="17" t="s">
        <v>127</v>
      </c>
      <c r="I122" s="17" t="s">
        <v>125</v>
      </c>
      <c r="J122" s="17" t="s">
        <v>62</v>
      </c>
      <c r="K122" s="17" t="s">
        <v>24</v>
      </c>
      <c r="L122" s="17" t="s">
        <v>18</v>
      </c>
      <c r="M122" s="17" t="s">
        <v>19</v>
      </c>
      <c r="N122" s="17" t="s">
        <v>12</v>
      </c>
      <c r="O122" s="17" t="s">
        <v>547</v>
      </c>
      <c r="P122" s="17" t="s">
        <v>548</v>
      </c>
      <c r="Q122" s="17" t="s">
        <v>722</v>
      </c>
      <c r="R122" s="17" t="s">
        <v>723</v>
      </c>
    </row>
    <row r="123" spans="2:18" x14ac:dyDescent="0.35">
      <c r="B123" s="18" t="s">
        <v>551</v>
      </c>
      <c r="C123" s="18" t="s">
        <v>549</v>
      </c>
      <c r="D123" s="18" t="s">
        <v>550</v>
      </c>
      <c r="E123" s="18" t="s">
        <v>150</v>
      </c>
      <c r="F123" s="18" t="s">
        <v>124</v>
      </c>
      <c r="G123" s="18">
        <v>57</v>
      </c>
      <c r="H123" s="18" t="s">
        <v>127</v>
      </c>
      <c r="I123" s="18" t="s">
        <v>125</v>
      </c>
      <c r="J123" s="18" t="s">
        <v>62</v>
      </c>
      <c r="K123" s="18" t="s">
        <v>24</v>
      </c>
      <c r="L123" s="18" t="s">
        <v>18</v>
      </c>
      <c r="M123" s="18" t="s">
        <v>25</v>
      </c>
      <c r="N123" s="18" t="s">
        <v>35</v>
      </c>
      <c r="O123" s="18" t="s">
        <v>552</v>
      </c>
      <c r="P123" s="18" t="s">
        <v>553</v>
      </c>
      <c r="Q123" s="18" t="s">
        <v>718</v>
      </c>
      <c r="R123" s="18" t="s">
        <v>719</v>
      </c>
    </row>
    <row r="124" spans="2:18" x14ac:dyDescent="0.35">
      <c r="B124" s="17" t="s">
        <v>555</v>
      </c>
      <c r="C124" s="17" t="s">
        <v>272</v>
      </c>
      <c r="D124" s="17" t="s">
        <v>554</v>
      </c>
      <c r="E124" s="17" t="s">
        <v>150</v>
      </c>
      <c r="F124" s="17" t="s">
        <v>124</v>
      </c>
      <c r="G124" s="17">
        <v>60</v>
      </c>
      <c r="H124" s="17" t="s">
        <v>127</v>
      </c>
      <c r="I124" s="17" t="s">
        <v>125</v>
      </c>
      <c r="J124" s="17" t="s">
        <v>62</v>
      </c>
      <c r="K124" s="17" t="s">
        <v>34</v>
      </c>
      <c r="L124" s="17" t="s">
        <v>18</v>
      </c>
      <c r="M124" s="17" t="s">
        <v>25</v>
      </c>
      <c r="N124" s="17" t="s">
        <v>35</v>
      </c>
      <c r="O124" s="17" t="s">
        <v>556</v>
      </c>
      <c r="P124" s="17" t="s">
        <v>557</v>
      </c>
      <c r="Q124" s="17" t="s">
        <v>718</v>
      </c>
      <c r="R124" s="17" t="s">
        <v>719</v>
      </c>
    </row>
    <row r="125" spans="2:18" x14ac:dyDescent="0.35">
      <c r="B125" s="18" t="s">
        <v>558</v>
      </c>
      <c r="C125" s="18" t="s">
        <v>683</v>
      </c>
      <c r="D125" s="18" t="s">
        <v>286</v>
      </c>
      <c r="E125" s="18" t="s">
        <v>126</v>
      </c>
      <c r="F125" s="18" t="s">
        <v>124</v>
      </c>
      <c r="G125" s="18">
        <v>26</v>
      </c>
      <c r="H125" s="18" t="s">
        <v>127</v>
      </c>
      <c r="I125" s="18" t="s">
        <v>125</v>
      </c>
      <c r="J125" s="18" t="s">
        <v>185</v>
      </c>
      <c r="K125" s="18" t="s">
        <v>34</v>
      </c>
      <c r="L125" s="18" t="s">
        <v>18</v>
      </c>
      <c r="M125" s="18" t="s">
        <v>19</v>
      </c>
      <c r="N125" s="18" t="s">
        <v>12</v>
      </c>
      <c r="O125" s="18" t="s">
        <v>559</v>
      </c>
      <c r="P125" s="18" t="s">
        <v>560</v>
      </c>
      <c r="Q125" s="18" t="s">
        <v>724</v>
      </c>
      <c r="R125" s="18" t="s">
        <v>719</v>
      </c>
    </row>
    <row r="126" spans="2:18" x14ac:dyDescent="0.35">
      <c r="B126" s="17" t="s">
        <v>563</v>
      </c>
      <c r="C126" s="17" t="s">
        <v>561</v>
      </c>
      <c r="D126" s="17" t="s">
        <v>562</v>
      </c>
      <c r="E126" s="17" t="s">
        <v>508</v>
      </c>
      <c r="F126" s="17" t="s">
        <v>124</v>
      </c>
      <c r="G126" s="17">
        <v>40</v>
      </c>
      <c r="H126" s="17" t="s">
        <v>127</v>
      </c>
      <c r="I126" s="17" t="s">
        <v>149</v>
      </c>
      <c r="J126" s="17" t="s">
        <v>62</v>
      </c>
      <c r="K126" s="17" t="s">
        <v>34</v>
      </c>
      <c r="L126" s="17" t="s">
        <v>18</v>
      </c>
      <c r="M126" s="17" t="s">
        <v>19</v>
      </c>
      <c r="N126" s="17" t="s">
        <v>12</v>
      </c>
      <c r="O126" s="17" t="s">
        <v>564</v>
      </c>
      <c r="P126" s="17" t="s">
        <v>565</v>
      </c>
      <c r="Q126" s="17" t="s">
        <v>721</v>
      </c>
      <c r="R126" s="17" t="s">
        <v>719</v>
      </c>
    </row>
    <row r="127" spans="2:18" x14ac:dyDescent="0.35">
      <c r="B127" s="18" t="s">
        <v>566</v>
      </c>
      <c r="C127" s="18" t="s">
        <v>684</v>
      </c>
      <c r="D127" s="18" t="s">
        <v>703</v>
      </c>
      <c r="E127" s="18" t="s">
        <v>126</v>
      </c>
      <c r="F127" s="18" t="s">
        <v>124</v>
      </c>
      <c r="G127" s="18">
        <v>27</v>
      </c>
      <c r="H127" s="18" t="s">
        <v>127</v>
      </c>
      <c r="I127" s="18" t="s">
        <v>149</v>
      </c>
      <c r="J127" s="18" t="s">
        <v>62</v>
      </c>
      <c r="K127" s="18" t="s">
        <v>24</v>
      </c>
      <c r="L127" s="18" t="s">
        <v>18</v>
      </c>
      <c r="M127" s="18" t="s">
        <v>25</v>
      </c>
      <c r="N127" s="18" t="s">
        <v>35</v>
      </c>
      <c r="O127" s="18" t="s">
        <v>567</v>
      </c>
      <c r="P127" s="18" t="s">
        <v>568</v>
      </c>
      <c r="Q127" s="18" t="s">
        <v>724</v>
      </c>
      <c r="R127" s="18" t="s">
        <v>719</v>
      </c>
    </row>
    <row r="128" spans="2:18" x14ac:dyDescent="0.35">
      <c r="B128" s="17" t="s">
        <v>569</v>
      </c>
      <c r="C128" s="17" t="s">
        <v>399</v>
      </c>
      <c r="D128" s="17" t="s">
        <v>172</v>
      </c>
      <c r="E128" s="17" t="s">
        <v>126</v>
      </c>
      <c r="F128" s="17" t="s">
        <v>139</v>
      </c>
      <c r="G128" s="17">
        <v>44</v>
      </c>
      <c r="H128" s="17" t="s">
        <v>127</v>
      </c>
      <c r="I128" s="17" t="s">
        <v>149</v>
      </c>
      <c r="J128" s="17" t="s">
        <v>62</v>
      </c>
      <c r="K128" s="17" t="s">
        <v>24</v>
      </c>
      <c r="L128" s="17" t="s">
        <v>18</v>
      </c>
      <c r="M128" s="17" t="s">
        <v>25</v>
      </c>
      <c r="N128" s="17" t="s">
        <v>35</v>
      </c>
      <c r="O128" s="17" t="s">
        <v>570</v>
      </c>
      <c r="P128" s="17" t="s">
        <v>571</v>
      </c>
      <c r="Q128" s="17" t="s">
        <v>720</v>
      </c>
      <c r="R128" s="17" t="s">
        <v>719</v>
      </c>
    </row>
    <row r="129" spans="2:18" x14ac:dyDescent="0.35">
      <c r="B129" s="18" t="s">
        <v>574</v>
      </c>
      <c r="C129" s="18" t="s">
        <v>572</v>
      </c>
      <c r="D129" s="18" t="s">
        <v>573</v>
      </c>
      <c r="E129" s="18" t="s">
        <v>126</v>
      </c>
      <c r="F129" s="18" t="s">
        <v>124</v>
      </c>
      <c r="G129" s="18">
        <v>28</v>
      </c>
      <c r="H129" s="18" t="s">
        <v>127</v>
      </c>
      <c r="I129" s="18" t="s">
        <v>149</v>
      </c>
      <c r="J129" s="18" t="s">
        <v>185</v>
      </c>
      <c r="K129" s="18" t="s">
        <v>34</v>
      </c>
      <c r="L129" s="18" t="s">
        <v>18</v>
      </c>
      <c r="M129" s="18" t="s">
        <v>19</v>
      </c>
      <c r="N129" s="18" t="s">
        <v>12</v>
      </c>
      <c r="O129" s="18" t="s">
        <v>575</v>
      </c>
      <c r="P129" s="18" t="s">
        <v>576</v>
      </c>
      <c r="Q129" s="18" t="s">
        <v>724</v>
      </c>
      <c r="R129" s="18" t="s">
        <v>719</v>
      </c>
    </row>
    <row r="130" spans="2:18" x14ac:dyDescent="0.35">
      <c r="B130" s="17" t="s">
        <v>579</v>
      </c>
      <c r="C130" s="17" t="s">
        <v>577</v>
      </c>
      <c r="D130" s="17" t="s">
        <v>227</v>
      </c>
      <c r="E130" s="17" t="s">
        <v>126</v>
      </c>
      <c r="F130" s="17" t="s">
        <v>139</v>
      </c>
      <c r="G130" s="17">
        <v>49</v>
      </c>
      <c r="H130" s="17" t="s">
        <v>127</v>
      </c>
      <c r="I130" s="17" t="s">
        <v>149</v>
      </c>
      <c r="J130" s="17" t="s">
        <v>62</v>
      </c>
      <c r="K130" s="17" t="s">
        <v>24</v>
      </c>
      <c r="L130" s="17" t="s">
        <v>18</v>
      </c>
      <c r="M130" s="17" t="s">
        <v>25</v>
      </c>
      <c r="N130" s="17" t="s">
        <v>35</v>
      </c>
      <c r="O130" s="17" t="s">
        <v>580</v>
      </c>
      <c r="P130" s="17" t="s">
        <v>581</v>
      </c>
      <c r="Q130" s="17" t="s">
        <v>720</v>
      </c>
      <c r="R130" s="17" t="s">
        <v>719</v>
      </c>
    </row>
    <row r="131" spans="2:18" x14ac:dyDescent="0.35">
      <c r="B131" s="18" t="s">
        <v>583</v>
      </c>
      <c r="C131" s="18" t="s">
        <v>122</v>
      </c>
      <c r="D131" s="18" t="s">
        <v>582</v>
      </c>
      <c r="E131" s="18" t="s">
        <v>126</v>
      </c>
      <c r="F131" s="18" t="s">
        <v>139</v>
      </c>
      <c r="G131" s="18">
        <v>40</v>
      </c>
      <c r="H131" s="18" t="s">
        <v>127</v>
      </c>
      <c r="I131" s="18" t="s">
        <v>149</v>
      </c>
      <c r="J131" s="18" t="s">
        <v>62</v>
      </c>
      <c r="K131" s="18" t="s">
        <v>24</v>
      </c>
      <c r="L131" s="18" t="s">
        <v>18</v>
      </c>
      <c r="M131" s="18" t="s">
        <v>19</v>
      </c>
      <c r="N131" s="18" t="s">
        <v>12</v>
      </c>
      <c r="O131" s="18" t="s">
        <v>584</v>
      </c>
      <c r="P131" s="18" t="s">
        <v>585</v>
      </c>
      <c r="Q131" s="18" t="s">
        <v>721</v>
      </c>
      <c r="R131" s="18" t="s">
        <v>719</v>
      </c>
    </row>
    <row r="132" spans="2:18" x14ac:dyDescent="0.35">
      <c r="B132" s="17" t="s">
        <v>586</v>
      </c>
      <c r="C132" s="17" t="s">
        <v>582</v>
      </c>
      <c r="D132" s="17" t="s">
        <v>698</v>
      </c>
      <c r="E132" s="17" t="s">
        <v>126</v>
      </c>
      <c r="F132" s="17" t="s">
        <v>139</v>
      </c>
      <c r="G132" s="17">
        <v>30</v>
      </c>
      <c r="H132" s="17" t="s">
        <v>127</v>
      </c>
      <c r="I132" s="17" t="s">
        <v>149</v>
      </c>
      <c r="J132" s="17" t="s">
        <v>185</v>
      </c>
      <c r="K132" s="17" t="s">
        <v>34</v>
      </c>
      <c r="L132" s="17" t="s">
        <v>18</v>
      </c>
      <c r="M132" s="17" t="s">
        <v>19</v>
      </c>
      <c r="N132" s="17" t="s">
        <v>12</v>
      </c>
      <c r="O132" s="17" t="s">
        <v>587</v>
      </c>
      <c r="P132" s="17" t="s">
        <v>588</v>
      </c>
      <c r="Q132" s="17" t="s">
        <v>724</v>
      </c>
      <c r="R132" s="17" t="s">
        <v>719</v>
      </c>
    </row>
    <row r="133" spans="2:18" x14ac:dyDescent="0.35">
      <c r="B133" s="18" t="s">
        <v>590</v>
      </c>
      <c r="C133" s="18" t="s">
        <v>589</v>
      </c>
      <c r="D133" s="18" t="s">
        <v>227</v>
      </c>
      <c r="E133" s="18" t="s">
        <v>126</v>
      </c>
      <c r="F133" s="18" t="s">
        <v>139</v>
      </c>
      <c r="G133" s="18">
        <v>54</v>
      </c>
      <c r="H133" s="18" t="s">
        <v>127</v>
      </c>
      <c r="I133" s="18" t="s">
        <v>149</v>
      </c>
      <c r="J133" s="18" t="s">
        <v>62</v>
      </c>
      <c r="K133" s="18" t="s">
        <v>34</v>
      </c>
      <c r="L133" s="18" t="s">
        <v>18</v>
      </c>
      <c r="M133" s="18" t="s">
        <v>25</v>
      </c>
      <c r="N133" s="18" t="s">
        <v>35</v>
      </c>
      <c r="O133" s="18" t="s">
        <v>591</v>
      </c>
      <c r="P133" s="18" t="s">
        <v>592</v>
      </c>
      <c r="Q133" s="18" t="s">
        <v>718</v>
      </c>
      <c r="R133" s="18" t="s">
        <v>719</v>
      </c>
    </row>
    <row r="134" spans="2:18" x14ac:dyDescent="0.35">
      <c r="B134" s="17" t="s">
        <v>593</v>
      </c>
      <c r="C134" s="17" t="s">
        <v>578</v>
      </c>
      <c r="D134" s="17" t="s">
        <v>704</v>
      </c>
      <c r="E134" s="17" t="s">
        <v>150</v>
      </c>
      <c r="F134" s="17" t="s">
        <v>124</v>
      </c>
      <c r="G134" s="17">
        <v>59</v>
      </c>
      <c r="H134" s="17" t="s">
        <v>127</v>
      </c>
      <c r="I134" s="17" t="s">
        <v>125</v>
      </c>
      <c r="J134" s="17" t="s">
        <v>62</v>
      </c>
      <c r="K134" s="17" t="s">
        <v>24</v>
      </c>
      <c r="L134" s="17" t="s">
        <v>18</v>
      </c>
      <c r="M134" s="17" t="s">
        <v>25</v>
      </c>
      <c r="N134" s="17" t="s">
        <v>35</v>
      </c>
      <c r="O134" s="17" t="s">
        <v>594</v>
      </c>
      <c r="P134" s="17" t="s">
        <v>595</v>
      </c>
      <c r="Q134" s="17" t="s">
        <v>718</v>
      </c>
      <c r="R134" s="17" t="s">
        <v>719</v>
      </c>
    </row>
    <row r="135" spans="2:18" x14ac:dyDescent="0.35">
      <c r="B135" s="18" t="s">
        <v>597</v>
      </c>
      <c r="C135" s="18" t="s">
        <v>596</v>
      </c>
      <c r="D135" s="18" t="s">
        <v>232</v>
      </c>
      <c r="E135" s="18" t="s">
        <v>150</v>
      </c>
      <c r="F135" s="18" t="s">
        <v>124</v>
      </c>
      <c r="G135" s="18">
        <v>28</v>
      </c>
      <c r="H135" s="18" t="s">
        <v>127</v>
      </c>
      <c r="I135" s="18" t="s">
        <v>125</v>
      </c>
      <c r="J135" s="18" t="s">
        <v>62</v>
      </c>
      <c r="K135" s="18" t="s">
        <v>34</v>
      </c>
      <c r="L135" s="18" t="s">
        <v>18</v>
      </c>
      <c r="M135" s="18" t="s">
        <v>19</v>
      </c>
      <c r="N135" s="18" t="s">
        <v>12</v>
      </c>
      <c r="O135" s="18" t="s">
        <v>598</v>
      </c>
      <c r="P135" s="18" t="s">
        <v>599</v>
      </c>
      <c r="Q135" s="18" t="s">
        <v>724</v>
      </c>
      <c r="R135" s="18" t="s">
        <v>719</v>
      </c>
    </row>
    <row r="136" spans="2:18" x14ac:dyDescent="0.35">
      <c r="B136" s="17" t="s">
        <v>601</v>
      </c>
      <c r="C136" s="17" t="s">
        <v>596</v>
      </c>
      <c r="D136" s="17" t="s">
        <v>600</v>
      </c>
      <c r="E136" s="17" t="s">
        <v>150</v>
      </c>
      <c r="F136" s="17" t="s">
        <v>139</v>
      </c>
      <c r="G136" s="17">
        <v>37</v>
      </c>
      <c r="H136" s="17" t="s">
        <v>132</v>
      </c>
      <c r="I136" s="17" t="s">
        <v>125</v>
      </c>
      <c r="J136" s="17" t="s">
        <v>62</v>
      </c>
      <c r="K136" s="17" t="s">
        <v>24</v>
      </c>
      <c r="L136" s="17" t="s">
        <v>18</v>
      </c>
      <c r="M136" s="17" t="s">
        <v>25</v>
      </c>
      <c r="N136" s="17" t="s">
        <v>35</v>
      </c>
      <c r="O136" s="17" t="s">
        <v>602</v>
      </c>
      <c r="P136" s="17" t="s">
        <v>603</v>
      </c>
      <c r="Q136" s="17" t="s">
        <v>721</v>
      </c>
      <c r="R136" s="17" t="s">
        <v>719</v>
      </c>
    </row>
    <row r="137" spans="2:18" x14ac:dyDescent="0.35">
      <c r="B137" s="18" t="s">
        <v>605</v>
      </c>
      <c r="C137" s="18" t="s">
        <v>604</v>
      </c>
      <c r="D137" s="18" t="s">
        <v>705</v>
      </c>
      <c r="E137" s="18" t="s">
        <v>126</v>
      </c>
      <c r="F137" s="18" t="s">
        <v>124</v>
      </c>
      <c r="G137" s="18">
        <v>62</v>
      </c>
      <c r="H137" s="18" t="s">
        <v>127</v>
      </c>
      <c r="I137" s="18" t="s">
        <v>149</v>
      </c>
      <c r="J137" s="18" t="s">
        <v>51</v>
      </c>
      <c r="K137" s="18" t="s">
        <v>10</v>
      </c>
      <c r="L137" s="18" t="s">
        <v>10</v>
      </c>
      <c r="M137" s="18" t="s">
        <v>11</v>
      </c>
      <c r="N137" s="18" t="s">
        <v>35</v>
      </c>
      <c r="O137" s="18" t="s">
        <v>606</v>
      </c>
      <c r="P137" s="18" t="s">
        <v>607</v>
      </c>
      <c r="Q137" s="18" t="s">
        <v>718</v>
      </c>
      <c r="R137" s="18" t="s">
        <v>719</v>
      </c>
    </row>
    <row r="138" spans="2:18" x14ac:dyDescent="0.35">
      <c r="B138" s="17" t="s">
        <v>609</v>
      </c>
      <c r="C138" s="17" t="s">
        <v>172</v>
      </c>
      <c r="D138" s="17" t="s">
        <v>608</v>
      </c>
      <c r="E138" s="17" t="s">
        <v>126</v>
      </c>
      <c r="F138" s="17" t="s">
        <v>124</v>
      </c>
      <c r="G138" s="17">
        <v>68</v>
      </c>
      <c r="H138" s="17" t="s">
        <v>127</v>
      </c>
      <c r="I138" s="17" t="s">
        <v>125</v>
      </c>
      <c r="J138" s="17" t="s">
        <v>62</v>
      </c>
      <c r="K138" s="17" t="s">
        <v>34</v>
      </c>
      <c r="L138" s="17" t="s">
        <v>18</v>
      </c>
      <c r="M138" s="17" t="s">
        <v>25</v>
      </c>
      <c r="N138" s="17" t="s">
        <v>35</v>
      </c>
      <c r="O138" s="17" t="s">
        <v>610</v>
      </c>
      <c r="P138" s="17" t="s">
        <v>611</v>
      </c>
      <c r="Q138" s="17" t="s">
        <v>722</v>
      </c>
      <c r="R138" s="17" t="s">
        <v>723</v>
      </c>
    </row>
    <row r="139" spans="2:18" x14ac:dyDescent="0.35">
      <c r="B139" s="18" t="s">
        <v>613</v>
      </c>
      <c r="C139" s="18" t="s">
        <v>612</v>
      </c>
      <c r="D139" s="18" t="s">
        <v>706</v>
      </c>
      <c r="E139" s="18" t="s">
        <v>126</v>
      </c>
      <c r="F139" s="18" t="s">
        <v>124</v>
      </c>
      <c r="G139" s="18">
        <v>60</v>
      </c>
      <c r="H139" s="18" t="s">
        <v>127</v>
      </c>
      <c r="I139" s="18" t="s">
        <v>125</v>
      </c>
      <c r="J139" s="18" t="s">
        <v>62</v>
      </c>
      <c r="K139" s="18" t="s">
        <v>24</v>
      </c>
      <c r="L139" s="18" t="s">
        <v>18</v>
      </c>
      <c r="M139" s="18" t="s">
        <v>25</v>
      </c>
      <c r="N139" s="18" t="s">
        <v>35</v>
      </c>
      <c r="O139" s="18" t="s">
        <v>614</v>
      </c>
      <c r="P139" s="18" t="s">
        <v>615</v>
      </c>
      <c r="Q139" s="18" t="s">
        <v>718</v>
      </c>
      <c r="R139" s="18" t="s">
        <v>719</v>
      </c>
    </row>
    <row r="140" spans="2:18" x14ac:dyDescent="0.35">
      <c r="B140" s="17" t="s">
        <v>617</v>
      </c>
      <c r="C140" s="17" t="s">
        <v>616</v>
      </c>
      <c r="D140" s="17" t="s">
        <v>227</v>
      </c>
      <c r="E140" s="17" t="s">
        <v>126</v>
      </c>
      <c r="F140" s="17" t="s">
        <v>124</v>
      </c>
      <c r="G140" s="17">
        <v>44</v>
      </c>
      <c r="H140" s="17" t="s">
        <v>127</v>
      </c>
      <c r="I140" s="17" t="s">
        <v>125</v>
      </c>
      <c r="J140" s="17" t="s">
        <v>62</v>
      </c>
      <c r="K140" s="17" t="s">
        <v>24</v>
      </c>
      <c r="L140" s="17" t="s">
        <v>18</v>
      </c>
      <c r="M140" s="17" t="s">
        <v>19</v>
      </c>
      <c r="N140" s="17" t="s">
        <v>12</v>
      </c>
      <c r="O140" s="17" t="s">
        <v>618</v>
      </c>
      <c r="P140" s="17" t="s">
        <v>619</v>
      </c>
      <c r="Q140" s="17" t="s">
        <v>720</v>
      </c>
      <c r="R140" s="17" t="s">
        <v>719</v>
      </c>
    </row>
    <row r="141" spans="2:18" x14ac:dyDescent="0.35">
      <c r="B141" s="18" t="s">
        <v>620</v>
      </c>
      <c r="C141" s="18" t="s">
        <v>573</v>
      </c>
      <c r="D141" s="18" t="s">
        <v>353</v>
      </c>
      <c r="E141" s="18" t="s">
        <v>126</v>
      </c>
      <c r="F141" s="18" t="s">
        <v>124</v>
      </c>
      <c r="G141" s="18">
        <v>56</v>
      </c>
      <c r="H141" s="18" t="s">
        <v>127</v>
      </c>
      <c r="I141" s="18" t="s">
        <v>125</v>
      </c>
      <c r="J141" s="18" t="s">
        <v>62</v>
      </c>
      <c r="K141" s="18" t="s">
        <v>24</v>
      </c>
      <c r="L141" s="18" t="s">
        <v>18</v>
      </c>
      <c r="M141" s="18" t="s">
        <v>25</v>
      </c>
      <c r="N141" s="18" t="s">
        <v>35</v>
      </c>
      <c r="O141" s="18" t="s">
        <v>621</v>
      </c>
      <c r="P141" s="18" t="s">
        <v>622</v>
      </c>
      <c r="Q141" s="18" t="s">
        <v>718</v>
      </c>
      <c r="R141" s="18" t="s">
        <v>719</v>
      </c>
    </row>
    <row r="142" spans="2:18" x14ac:dyDescent="0.35">
      <c r="B142" s="17" t="s">
        <v>625</v>
      </c>
      <c r="C142" s="17" t="s">
        <v>623</v>
      </c>
      <c r="D142" s="17" t="s">
        <v>624</v>
      </c>
      <c r="E142" s="17" t="s">
        <v>126</v>
      </c>
      <c r="F142" s="17" t="s">
        <v>124</v>
      </c>
      <c r="G142" s="17">
        <v>27</v>
      </c>
      <c r="H142" s="17" t="s">
        <v>127</v>
      </c>
      <c r="I142" s="17" t="s">
        <v>125</v>
      </c>
      <c r="J142" s="17" t="s">
        <v>62</v>
      </c>
      <c r="K142" s="17" t="s">
        <v>34</v>
      </c>
      <c r="L142" s="17" t="s">
        <v>18</v>
      </c>
      <c r="M142" s="17" t="s">
        <v>25</v>
      </c>
      <c r="N142" s="17" t="s">
        <v>35</v>
      </c>
      <c r="O142" s="17" t="s">
        <v>626</v>
      </c>
      <c r="P142" s="17" t="s">
        <v>627</v>
      </c>
      <c r="Q142" s="17" t="s">
        <v>724</v>
      </c>
      <c r="R142" s="17" t="s">
        <v>719</v>
      </c>
    </row>
    <row r="143" spans="2:18" x14ac:dyDescent="0.35">
      <c r="B143" s="18" t="s">
        <v>628</v>
      </c>
      <c r="C143" s="18" t="s">
        <v>136</v>
      </c>
      <c r="D143" s="18" t="s">
        <v>420</v>
      </c>
      <c r="E143" s="18" t="s">
        <v>126</v>
      </c>
      <c r="F143" s="18" t="s">
        <v>124</v>
      </c>
      <c r="G143" s="18">
        <v>66</v>
      </c>
      <c r="H143" s="18" t="s">
        <v>127</v>
      </c>
      <c r="I143" s="18" t="s">
        <v>125</v>
      </c>
      <c r="J143" s="18" t="s">
        <v>62</v>
      </c>
      <c r="K143" s="18" t="s">
        <v>24</v>
      </c>
      <c r="L143" s="18" t="s">
        <v>18</v>
      </c>
      <c r="M143" s="18" t="s">
        <v>25</v>
      </c>
      <c r="N143" s="18" t="s">
        <v>35</v>
      </c>
      <c r="O143" s="18" t="s">
        <v>629</v>
      </c>
      <c r="P143" s="18" t="s">
        <v>630</v>
      </c>
      <c r="Q143" s="18" t="s">
        <v>722</v>
      </c>
      <c r="R143" s="18" t="s">
        <v>723</v>
      </c>
    </row>
    <row r="144" spans="2:18" x14ac:dyDescent="0.35">
      <c r="B144" s="17" t="s">
        <v>633</v>
      </c>
      <c r="C144" s="17" t="s">
        <v>631</v>
      </c>
      <c r="D144" s="17" t="s">
        <v>632</v>
      </c>
      <c r="E144" s="17" t="s">
        <v>126</v>
      </c>
      <c r="F144" s="17" t="s">
        <v>124</v>
      </c>
      <c r="G144" s="17">
        <v>44</v>
      </c>
      <c r="H144" s="17" t="s">
        <v>127</v>
      </c>
      <c r="I144" s="17" t="s">
        <v>149</v>
      </c>
      <c r="J144" s="17" t="s">
        <v>62</v>
      </c>
      <c r="K144" s="17" t="s">
        <v>24</v>
      </c>
      <c r="L144" s="17" t="s">
        <v>18</v>
      </c>
      <c r="M144" s="17" t="s">
        <v>25</v>
      </c>
      <c r="N144" s="17" t="s">
        <v>35</v>
      </c>
      <c r="O144" s="17" t="s">
        <v>634</v>
      </c>
      <c r="P144" s="17" t="s">
        <v>635</v>
      </c>
      <c r="Q144" s="17" t="s">
        <v>720</v>
      </c>
      <c r="R144" s="17" t="s">
        <v>719</v>
      </c>
    </row>
    <row r="145" spans="2:18" x14ac:dyDescent="0.35">
      <c r="B145" s="18" t="s">
        <v>637</v>
      </c>
      <c r="C145" s="18" t="s">
        <v>679</v>
      </c>
      <c r="D145" s="18" t="s">
        <v>636</v>
      </c>
      <c r="E145" s="18" t="s">
        <v>126</v>
      </c>
      <c r="F145" s="18" t="s">
        <v>139</v>
      </c>
      <c r="G145" s="18">
        <v>26</v>
      </c>
      <c r="H145" s="18" t="s">
        <v>127</v>
      </c>
      <c r="I145" s="18" t="s">
        <v>125</v>
      </c>
      <c r="J145" s="18" t="s">
        <v>62</v>
      </c>
      <c r="K145" s="18" t="s">
        <v>34</v>
      </c>
      <c r="L145" s="18" t="s">
        <v>18</v>
      </c>
      <c r="M145" s="18" t="s">
        <v>25</v>
      </c>
      <c r="N145" s="18" t="s">
        <v>35</v>
      </c>
      <c r="O145" s="18" t="s">
        <v>638</v>
      </c>
      <c r="P145" s="18" t="s">
        <v>639</v>
      </c>
      <c r="Q145" s="18" t="s">
        <v>724</v>
      </c>
      <c r="R145" s="18" t="s">
        <v>719</v>
      </c>
    </row>
    <row r="146" spans="2:18" x14ac:dyDescent="0.35">
      <c r="B146" s="17" t="s">
        <v>640</v>
      </c>
      <c r="C146" s="17" t="s">
        <v>685</v>
      </c>
      <c r="D146" s="17" t="s">
        <v>707</v>
      </c>
      <c r="E146" s="17" t="s">
        <v>126</v>
      </c>
      <c r="F146" s="17" t="s">
        <v>139</v>
      </c>
      <c r="G146" s="17">
        <v>57</v>
      </c>
      <c r="H146" s="17" t="s">
        <v>127</v>
      </c>
      <c r="I146" s="17" t="s">
        <v>149</v>
      </c>
      <c r="J146" s="17" t="s">
        <v>51</v>
      </c>
      <c r="K146" s="17" t="s">
        <v>34</v>
      </c>
      <c r="L146" s="17" t="s">
        <v>18</v>
      </c>
      <c r="M146" s="17" t="s">
        <v>11</v>
      </c>
      <c r="N146" s="17" t="s">
        <v>35</v>
      </c>
      <c r="O146" s="17" t="s">
        <v>641</v>
      </c>
      <c r="P146" s="17" t="s">
        <v>642</v>
      </c>
      <c r="Q146" s="17" t="s">
        <v>718</v>
      </c>
      <c r="R146" s="17" t="s">
        <v>719</v>
      </c>
    </row>
    <row r="147" spans="2:18" x14ac:dyDescent="0.35">
      <c r="B147" s="18" t="s">
        <v>645</v>
      </c>
      <c r="C147" s="18" t="s">
        <v>643</v>
      </c>
      <c r="D147" s="18" t="s">
        <v>644</v>
      </c>
      <c r="E147" s="18" t="s">
        <v>126</v>
      </c>
      <c r="F147" s="18" t="s">
        <v>124</v>
      </c>
      <c r="G147" s="18">
        <v>53</v>
      </c>
      <c r="H147" s="18" t="s">
        <v>127</v>
      </c>
      <c r="I147" s="18" t="s">
        <v>149</v>
      </c>
      <c r="J147" s="18" t="s">
        <v>62</v>
      </c>
      <c r="K147" s="18" t="s">
        <v>34</v>
      </c>
      <c r="L147" s="18" t="s">
        <v>18</v>
      </c>
      <c r="M147" s="18" t="s">
        <v>19</v>
      </c>
      <c r="N147" s="18" t="s">
        <v>12</v>
      </c>
      <c r="O147" s="18" t="s">
        <v>646</v>
      </c>
      <c r="P147" s="18" t="s">
        <v>647</v>
      </c>
      <c r="Q147" s="18" t="s">
        <v>718</v>
      </c>
      <c r="R147" s="18" t="s">
        <v>719</v>
      </c>
    </row>
    <row r="148" spans="2:18" x14ac:dyDescent="0.35">
      <c r="B148" s="17" t="s">
        <v>648</v>
      </c>
      <c r="C148" s="17" t="s">
        <v>172</v>
      </c>
      <c r="D148" s="17" t="s">
        <v>698</v>
      </c>
      <c r="E148" s="17" t="s">
        <v>150</v>
      </c>
      <c r="F148" s="17" t="s">
        <v>139</v>
      </c>
      <c r="G148" s="17">
        <v>61</v>
      </c>
      <c r="H148" s="17" t="s">
        <v>127</v>
      </c>
      <c r="I148" s="17" t="s">
        <v>149</v>
      </c>
      <c r="J148" s="17" t="s">
        <v>62</v>
      </c>
      <c r="K148" s="17" t="s">
        <v>24</v>
      </c>
      <c r="L148" s="17" t="s">
        <v>18</v>
      </c>
      <c r="M148" s="17" t="s">
        <v>25</v>
      </c>
      <c r="N148" s="17" t="s">
        <v>35</v>
      </c>
      <c r="O148" s="17" t="s">
        <v>649</v>
      </c>
      <c r="P148" s="17" t="s">
        <v>650</v>
      </c>
      <c r="Q148" s="17" t="s">
        <v>718</v>
      </c>
      <c r="R148" s="17" t="s">
        <v>719</v>
      </c>
    </row>
    <row r="149" spans="2:18" x14ac:dyDescent="0.35">
      <c r="B149" s="18" t="s">
        <v>741</v>
      </c>
      <c r="C149" s="18" t="s">
        <v>651</v>
      </c>
      <c r="D149" s="18" t="s">
        <v>631</v>
      </c>
      <c r="E149" s="18" t="s">
        <v>126</v>
      </c>
      <c r="F149" s="18" t="s">
        <v>139</v>
      </c>
      <c r="G149" s="18">
        <v>68</v>
      </c>
      <c r="H149" s="18" t="s">
        <v>127</v>
      </c>
      <c r="I149" s="18" t="s">
        <v>149</v>
      </c>
      <c r="J149" s="18" t="s">
        <v>62</v>
      </c>
      <c r="K149" s="18" t="s">
        <v>24</v>
      </c>
      <c r="L149" s="18" t="s">
        <v>18</v>
      </c>
      <c r="M149" s="18" t="s">
        <v>19</v>
      </c>
      <c r="N149" s="18" t="s">
        <v>12</v>
      </c>
      <c r="O149" s="18" t="s">
        <v>653</v>
      </c>
      <c r="P149" s="18" t="s">
        <v>654</v>
      </c>
      <c r="Q149" s="18" t="s">
        <v>722</v>
      </c>
      <c r="R149" s="18" t="s">
        <v>723</v>
      </c>
    </row>
    <row r="150" spans="2:18" x14ac:dyDescent="0.35">
      <c r="B150" s="17" t="s">
        <v>739</v>
      </c>
      <c r="C150" s="17" t="s">
        <v>655</v>
      </c>
      <c r="D150" s="17" t="s">
        <v>656</v>
      </c>
      <c r="E150" s="17" t="s">
        <v>150</v>
      </c>
      <c r="F150" s="17" t="s">
        <v>139</v>
      </c>
      <c r="G150" s="17">
        <v>56</v>
      </c>
      <c r="H150" s="17" t="s">
        <v>132</v>
      </c>
      <c r="I150" s="17" t="s">
        <v>149</v>
      </c>
      <c r="J150" s="17" t="s">
        <v>62</v>
      </c>
      <c r="K150" s="17" t="s">
        <v>24</v>
      </c>
      <c r="L150" s="17" t="s">
        <v>18</v>
      </c>
      <c r="M150" s="17" t="s">
        <v>25</v>
      </c>
      <c r="N150" s="17" t="s">
        <v>35</v>
      </c>
      <c r="O150" s="17" t="s">
        <v>658</v>
      </c>
      <c r="P150" s="17" t="s">
        <v>659</v>
      </c>
      <c r="Q150" s="17" t="s">
        <v>718</v>
      </c>
      <c r="R150" s="17" t="s">
        <v>719</v>
      </c>
    </row>
    <row r="151" spans="2:18" x14ac:dyDescent="0.35">
      <c r="B151" s="18" t="s">
        <v>740</v>
      </c>
      <c r="C151" s="18" t="s">
        <v>243</v>
      </c>
      <c r="D151" s="18" t="s">
        <v>421</v>
      </c>
      <c r="E151" s="18" t="s">
        <v>126</v>
      </c>
      <c r="F151" s="18" t="s">
        <v>139</v>
      </c>
      <c r="G151" s="18">
        <v>68</v>
      </c>
      <c r="H151" s="18" t="s">
        <v>127</v>
      </c>
      <c r="I151" s="18" t="s">
        <v>149</v>
      </c>
      <c r="J151" s="18" t="s">
        <v>62</v>
      </c>
      <c r="K151" s="18" t="s">
        <v>24</v>
      </c>
      <c r="L151" s="18" t="s">
        <v>18</v>
      </c>
      <c r="M151" s="18" t="s">
        <v>25</v>
      </c>
      <c r="N151" s="18" t="s">
        <v>35</v>
      </c>
      <c r="O151" s="18" t="s">
        <v>661</v>
      </c>
      <c r="P151" s="18" t="s">
        <v>662</v>
      </c>
      <c r="Q151" s="18" t="s">
        <v>722</v>
      </c>
      <c r="R151" s="18" t="s">
        <v>723</v>
      </c>
    </row>
    <row r="152" spans="2:18" x14ac:dyDescent="0.35">
      <c r="B152" s="17" t="s">
        <v>652</v>
      </c>
      <c r="C152" s="17" t="s">
        <v>651</v>
      </c>
      <c r="D152" s="17" t="s">
        <v>631</v>
      </c>
      <c r="E152" s="17" t="s">
        <v>126</v>
      </c>
      <c r="F152" s="17" t="s">
        <v>124</v>
      </c>
      <c r="G152" s="17">
        <v>48</v>
      </c>
      <c r="H152" s="17" t="s">
        <v>127</v>
      </c>
      <c r="I152" s="17" t="s">
        <v>125</v>
      </c>
      <c r="J152" s="17" t="s">
        <v>62</v>
      </c>
      <c r="K152" s="17" t="s">
        <v>24</v>
      </c>
      <c r="L152" s="17" t="s">
        <v>18</v>
      </c>
      <c r="M152" s="17" t="s">
        <v>19</v>
      </c>
      <c r="N152" s="17" t="s">
        <v>12</v>
      </c>
      <c r="O152" s="17" t="s">
        <v>653</v>
      </c>
      <c r="P152" s="17" t="s">
        <v>654</v>
      </c>
      <c r="Q152" s="17" t="s">
        <v>720</v>
      </c>
      <c r="R152" s="17" t="s">
        <v>719</v>
      </c>
    </row>
    <row r="153" spans="2:18" x14ac:dyDescent="0.35">
      <c r="B153" s="18" t="s">
        <v>657</v>
      </c>
      <c r="C153" s="18" t="s">
        <v>655</v>
      </c>
      <c r="D153" s="18" t="s">
        <v>656</v>
      </c>
      <c r="E153" s="18" t="s">
        <v>150</v>
      </c>
      <c r="F153" s="18" t="s">
        <v>124</v>
      </c>
      <c r="G153" s="18">
        <v>47</v>
      </c>
      <c r="H153" s="18" t="s">
        <v>127</v>
      </c>
      <c r="I153" s="18" t="s">
        <v>125</v>
      </c>
      <c r="J153" s="18" t="s">
        <v>62</v>
      </c>
      <c r="K153" s="18" t="s">
        <v>24</v>
      </c>
      <c r="L153" s="18" t="s">
        <v>18</v>
      </c>
      <c r="M153" s="18" t="s">
        <v>25</v>
      </c>
      <c r="N153" s="18" t="s">
        <v>35</v>
      </c>
      <c r="O153" s="18" t="s">
        <v>658</v>
      </c>
      <c r="P153" s="18" t="s">
        <v>659</v>
      </c>
      <c r="Q153" s="18" t="s">
        <v>720</v>
      </c>
      <c r="R153" s="18" t="s">
        <v>719</v>
      </c>
    </row>
    <row r="154" spans="2:18" x14ac:dyDescent="0.35">
      <c r="B154" s="17" t="s">
        <v>660</v>
      </c>
      <c r="C154" s="17" t="s">
        <v>243</v>
      </c>
      <c r="D154" s="17" t="s">
        <v>421</v>
      </c>
      <c r="E154" s="17" t="s">
        <v>508</v>
      </c>
      <c r="F154" s="17" t="s">
        <v>124</v>
      </c>
      <c r="G154" s="17">
        <v>29</v>
      </c>
      <c r="H154" s="17" t="s">
        <v>127</v>
      </c>
      <c r="I154" s="17" t="s">
        <v>125</v>
      </c>
      <c r="J154" s="17" t="s">
        <v>62</v>
      </c>
      <c r="K154" s="17" t="s">
        <v>24</v>
      </c>
      <c r="L154" s="17" t="s">
        <v>18</v>
      </c>
      <c r="M154" s="17" t="s">
        <v>25</v>
      </c>
      <c r="N154" s="17" t="s">
        <v>35</v>
      </c>
      <c r="O154" s="17" t="s">
        <v>661</v>
      </c>
      <c r="P154" s="17" t="s">
        <v>662</v>
      </c>
      <c r="Q154" s="17" t="s">
        <v>724</v>
      </c>
      <c r="R154" s="17" t="s">
        <v>719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E1B1-FE7F-4B50-B4D8-57B8534BBBC5}">
  <sheetPr codeName="Sheet4"/>
  <dimension ref="A1:L76"/>
  <sheetViews>
    <sheetView workbookViewId="0">
      <selection activeCell="E14" sqref="E14"/>
    </sheetView>
  </sheetViews>
  <sheetFormatPr defaultRowHeight="14.5" x14ac:dyDescent="0.35"/>
  <cols>
    <col min="2" max="2" width="8.81640625" bestFit="1" customWidth="1"/>
    <col min="3" max="3" width="24.26953125" bestFit="1" customWidth="1"/>
    <col min="4" max="4" width="9.54296875" bestFit="1" customWidth="1"/>
    <col min="5" max="5" width="24.26953125" bestFit="1" customWidth="1"/>
    <col min="8" max="8" width="18.54296875" bestFit="1" customWidth="1"/>
    <col min="9" max="9" width="24.26953125" bestFit="1" customWidth="1"/>
    <col min="10" max="10" width="5.81640625" customWidth="1"/>
    <col min="11" max="11" width="10.54296875" bestFit="1" customWidth="1"/>
    <col min="12" max="12" width="24.26953125" bestFit="1" customWidth="1"/>
    <col min="13" max="21" width="16.26953125" bestFit="1" customWidth="1"/>
    <col min="22" max="22" width="11.26953125" bestFit="1" customWidth="1"/>
  </cols>
  <sheetData>
    <row r="1" spans="2:12" ht="15" thickBot="1" x14ac:dyDescent="0.4"/>
    <row r="2" spans="2:12" ht="15" thickBot="1" x14ac:dyDescent="0.4">
      <c r="B2" s="30" t="s">
        <v>726</v>
      </c>
      <c r="D2" s="42" t="s">
        <v>711</v>
      </c>
      <c r="E2" s="30" t="s">
        <v>726</v>
      </c>
      <c r="F2" s="34" t="s">
        <v>727</v>
      </c>
      <c r="H2" s="42" t="s">
        <v>714</v>
      </c>
      <c r="I2" s="30" t="s">
        <v>726</v>
      </c>
      <c r="K2" s="42" t="s">
        <v>713</v>
      </c>
      <c r="L2" s="34" t="s">
        <v>726</v>
      </c>
    </row>
    <row r="3" spans="2:12" ht="15" thickBot="1" x14ac:dyDescent="0.4">
      <c r="B3" s="30">
        <v>151</v>
      </c>
      <c r="D3" s="31" t="s">
        <v>139</v>
      </c>
      <c r="E3" s="31">
        <v>33</v>
      </c>
      <c r="F3" s="36">
        <f>E3/SUM($E$3:$E$4)</f>
        <v>0.2185430463576159</v>
      </c>
      <c r="H3" s="31" t="s">
        <v>127</v>
      </c>
      <c r="I3" s="31">
        <v>141</v>
      </c>
      <c r="K3" s="31" t="s">
        <v>149</v>
      </c>
      <c r="L3" s="39">
        <v>41</v>
      </c>
    </row>
    <row r="4" spans="2:12" ht="15" thickBot="1" x14ac:dyDescent="0.4">
      <c r="D4" s="32" t="s">
        <v>124</v>
      </c>
      <c r="E4" s="32">
        <v>118</v>
      </c>
      <c r="F4" s="38">
        <f>E4/SUM($E$3:$E$4)</f>
        <v>0.7814569536423841</v>
      </c>
      <c r="H4" s="32" t="s">
        <v>132</v>
      </c>
      <c r="I4" s="32">
        <v>10</v>
      </c>
      <c r="K4" s="41" t="s">
        <v>145</v>
      </c>
      <c r="L4" s="39">
        <v>17</v>
      </c>
    </row>
    <row r="5" spans="2:12" ht="15" thickBot="1" x14ac:dyDescent="0.4">
      <c r="K5" s="32" t="s">
        <v>125</v>
      </c>
      <c r="L5" s="40">
        <v>93</v>
      </c>
    </row>
    <row r="7" spans="2:12" ht="15" thickBot="1" x14ac:dyDescent="0.4"/>
    <row r="8" spans="2:12" ht="15" thickBot="1" x14ac:dyDescent="0.4">
      <c r="B8" s="42" t="s">
        <v>737</v>
      </c>
      <c r="C8" s="30" t="s">
        <v>726</v>
      </c>
      <c r="D8" s="34" t="s">
        <v>727</v>
      </c>
      <c r="H8" s="42" t="s">
        <v>4</v>
      </c>
      <c r="I8" s="30" t="s">
        <v>726</v>
      </c>
      <c r="K8" s="33" t="s">
        <v>725</v>
      </c>
      <c r="L8" s="30" t="s">
        <v>726</v>
      </c>
    </row>
    <row r="9" spans="2:12" x14ac:dyDescent="0.35">
      <c r="B9" s="31" t="s">
        <v>508</v>
      </c>
      <c r="C9" s="31">
        <v>4</v>
      </c>
      <c r="D9" s="36">
        <f>C9/SUM($C$9:$C$11)</f>
        <v>2.6490066225165563E-2</v>
      </c>
      <c r="H9" s="31" t="s">
        <v>12</v>
      </c>
      <c r="I9" s="31">
        <v>42</v>
      </c>
      <c r="K9" s="35" t="s">
        <v>19</v>
      </c>
      <c r="L9" s="31">
        <v>63</v>
      </c>
    </row>
    <row r="10" spans="2:12" x14ac:dyDescent="0.35">
      <c r="B10" s="41" t="s">
        <v>126</v>
      </c>
      <c r="C10" s="41">
        <v>90</v>
      </c>
      <c r="D10" s="36">
        <f t="shared" ref="D10:D11" si="0">C10/SUM($C$9:$C$11)</f>
        <v>0.59602649006622521</v>
      </c>
      <c r="H10" s="41" t="s">
        <v>151</v>
      </c>
      <c r="I10" s="41">
        <v>2</v>
      </c>
      <c r="K10" s="35" t="s">
        <v>25</v>
      </c>
      <c r="L10" s="41">
        <v>71</v>
      </c>
    </row>
    <row r="11" spans="2:12" ht="15" thickBot="1" x14ac:dyDescent="0.4">
      <c r="B11" s="32" t="s">
        <v>150</v>
      </c>
      <c r="C11" s="32">
        <v>57</v>
      </c>
      <c r="D11" s="38">
        <f t="shared" si="0"/>
        <v>0.37748344370860926</v>
      </c>
      <c r="H11" s="41" t="s">
        <v>20</v>
      </c>
      <c r="I11" s="41">
        <v>8</v>
      </c>
      <c r="K11" s="37" t="s">
        <v>11</v>
      </c>
      <c r="L11" s="32">
        <v>17</v>
      </c>
    </row>
    <row r="12" spans="2:12" x14ac:dyDescent="0.35">
      <c r="H12" s="41" t="s">
        <v>26</v>
      </c>
      <c r="I12" s="41">
        <v>11</v>
      </c>
      <c r="K12" s="35"/>
      <c r="L12" s="39"/>
    </row>
    <row r="13" spans="2:12" ht="15" thickBot="1" x14ac:dyDescent="0.4">
      <c r="H13" s="41" t="s">
        <v>35</v>
      </c>
      <c r="I13" s="41">
        <v>62</v>
      </c>
      <c r="K13" s="35" t="str" cm="1">
        <f t="array" ref="K13:L16">INDEX(K8:L11, 0,0)</f>
        <v>Distribution Center</v>
      </c>
      <c r="L13" s="39" t="str">
        <v>Count of Employee_name</v>
      </c>
    </row>
    <row r="14" spans="2:12" ht="15" thickBot="1" x14ac:dyDescent="0.4">
      <c r="B14" s="42" t="s">
        <v>717</v>
      </c>
      <c r="C14" s="30" t="s">
        <v>726</v>
      </c>
      <c r="H14" s="41" t="s">
        <v>297</v>
      </c>
      <c r="I14" s="41">
        <v>1</v>
      </c>
      <c r="K14" s="35" t="str">
        <v>Frozen Food</v>
      </c>
      <c r="L14" s="39">
        <v>63</v>
      </c>
    </row>
    <row r="15" spans="2:12" x14ac:dyDescent="0.35">
      <c r="B15" s="31" t="s">
        <v>719</v>
      </c>
      <c r="C15" s="31">
        <v>135</v>
      </c>
      <c r="H15" s="41" t="s">
        <v>118</v>
      </c>
      <c r="I15" s="41">
        <v>2</v>
      </c>
      <c r="K15" s="35" t="str">
        <v>Non-Frozen Food</v>
      </c>
      <c r="L15" s="39">
        <v>71</v>
      </c>
    </row>
    <row r="16" spans="2:12" ht="15" thickBot="1" x14ac:dyDescent="0.4">
      <c r="B16" s="32" t="s">
        <v>723</v>
      </c>
      <c r="C16" s="32">
        <v>16</v>
      </c>
      <c r="H16" s="41" t="s">
        <v>47</v>
      </c>
      <c r="I16" s="41">
        <v>5</v>
      </c>
      <c r="K16" s="37" t="str">
        <v>Shared Services</v>
      </c>
      <c r="L16" s="40">
        <v>17</v>
      </c>
    </row>
    <row r="17" spans="1:12" x14ac:dyDescent="0.35">
      <c r="H17" s="41" t="s">
        <v>111</v>
      </c>
      <c r="I17" s="41">
        <v>1</v>
      </c>
    </row>
    <row r="18" spans="1:12" ht="15" thickBot="1" x14ac:dyDescent="0.4">
      <c r="H18" s="41" t="s">
        <v>168</v>
      </c>
      <c r="I18" s="41">
        <v>2</v>
      </c>
    </row>
    <row r="19" spans="1:12" ht="15" thickBot="1" x14ac:dyDescent="0.4">
      <c r="B19" s="42" t="s">
        <v>0</v>
      </c>
      <c r="C19" s="30" t="s">
        <v>726</v>
      </c>
      <c r="H19" s="41" t="s">
        <v>245</v>
      </c>
      <c r="I19" s="41">
        <v>3</v>
      </c>
      <c r="L19" s="30"/>
    </row>
    <row r="20" spans="1:12" x14ac:dyDescent="0.35">
      <c r="B20" s="31" t="s">
        <v>62</v>
      </c>
      <c r="C20" s="31">
        <v>60</v>
      </c>
      <c r="H20" s="41" t="s">
        <v>312</v>
      </c>
      <c r="I20" s="41">
        <v>4</v>
      </c>
    </row>
    <row r="21" spans="1:12" ht="15" thickBot="1" x14ac:dyDescent="0.4">
      <c r="B21" s="41" t="s">
        <v>16</v>
      </c>
      <c r="C21" s="41">
        <v>55</v>
      </c>
      <c r="H21" s="41" t="s">
        <v>350</v>
      </c>
      <c r="I21" s="41">
        <v>2</v>
      </c>
    </row>
    <row r="22" spans="1:12" ht="15" thickBot="1" x14ac:dyDescent="0.4">
      <c r="B22" s="41" t="s">
        <v>185</v>
      </c>
      <c r="C22" s="41">
        <v>9</v>
      </c>
      <c r="H22" s="32" t="s">
        <v>206</v>
      </c>
      <c r="I22" s="32">
        <v>6</v>
      </c>
      <c r="J22" s="43" t="s">
        <v>738</v>
      </c>
      <c r="K22" s="44">
        <f>COUNTA(H9:H22)</f>
        <v>14</v>
      </c>
    </row>
    <row r="23" spans="1:12" ht="15" thickBot="1" x14ac:dyDescent="0.4">
      <c r="B23" s="41" t="s">
        <v>43</v>
      </c>
      <c r="C23" s="41">
        <v>7</v>
      </c>
    </row>
    <row r="24" spans="1:12" ht="15" thickBot="1" x14ac:dyDescent="0.4">
      <c r="B24" s="41" t="s">
        <v>33</v>
      </c>
      <c r="C24" s="41">
        <v>5</v>
      </c>
      <c r="H24" s="42" t="s">
        <v>2</v>
      </c>
      <c r="I24" s="30" t="s">
        <v>726</v>
      </c>
    </row>
    <row r="25" spans="1:12" x14ac:dyDescent="0.35">
      <c r="B25" s="41" t="s">
        <v>205</v>
      </c>
      <c r="C25" s="41">
        <v>5</v>
      </c>
      <c r="H25" s="31" t="s">
        <v>10</v>
      </c>
      <c r="I25" s="31">
        <v>29</v>
      </c>
    </row>
    <row r="26" spans="1:12" ht="15" thickBot="1" x14ac:dyDescent="0.4">
      <c r="B26" s="41" t="s">
        <v>51</v>
      </c>
      <c r="C26" s="41">
        <v>4</v>
      </c>
      <c r="H26" s="32" t="s">
        <v>18</v>
      </c>
      <c r="I26" s="32">
        <v>122</v>
      </c>
    </row>
    <row r="27" spans="1:12" x14ac:dyDescent="0.35">
      <c r="B27" s="41" t="s">
        <v>8</v>
      </c>
      <c r="C27" s="41">
        <v>4</v>
      </c>
    </row>
    <row r="28" spans="1:12" ht="15" thickBot="1" x14ac:dyDescent="0.4">
      <c r="B28" s="32" t="s">
        <v>39</v>
      </c>
      <c r="C28" s="32">
        <v>2</v>
      </c>
    </row>
    <row r="29" spans="1:12" ht="15" thickBot="1" x14ac:dyDescent="0.4">
      <c r="A29" t="s">
        <v>738</v>
      </c>
      <c r="B29" s="35">
        <f>COUNTA(B20:B28)</f>
        <v>9</v>
      </c>
      <c r="C29" s="39"/>
    </row>
    <row r="30" spans="1:12" ht="15" thickBot="1" x14ac:dyDescent="0.4">
      <c r="B30" s="35" t="str" cm="1">
        <f t="array" ref="B30:C39">INDEX(departments, 0,0)</f>
        <v>Department</v>
      </c>
      <c r="C30" s="39" t="str">
        <v>Count of Employee_name</v>
      </c>
      <c r="H30" s="42" t="s">
        <v>1</v>
      </c>
      <c r="I30" s="30" t="s">
        <v>726</v>
      </c>
      <c r="K30" s="33" t="s">
        <v>716</v>
      </c>
      <c r="L30" s="30" t="s">
        <v>726</v>
      </c>
    </row>
    <row r="31" spans="1:12" x14ac:dyDescent="0.35">
      <c r="B31" s="35" t="str">
        <v>Production</v>
      </c>
      <c r="C31" s="39">
        <v>60</v>
      </c>
      <c r="H31" s="31" t="s">
        <v>55</v>
      </c>
      <c r="I31" s="31">
        <v>1</v>
      </c>
      <c r="K31" s="35" t="s">
        <v>724</v>
      </c>
      <c r="L31" s="31">
        <v>26</v>
      </c>
    </row>
    <row r="32" spans="1:12" x14ac:dyDescent="0.35">
      <c r="B32" s="35" t="str">
        <v>Sales</v>
      </c>
      <c r="C32" s="39">
        <v>55</v>
      </c>
      <c r="H32" s="41" t="s">
        <v>63</v>
      </c>
      <c r="I32" s="41">
        <v>2</v>
      </c>
      <c r="K32" s="35" t="s">
        <v>721</v>
      </c>
      <c r="L32" s="41">
        <v>32</v>
      </c>
    </row>
    <row r="33" spans="2:12" x14ac:dyDescent="0.35">
      <c r="B33" s="35" t="str">
        <v>Logistics</v>
      </c>
      <c r="C33" s="39">
        <v>9</v>
      </c>
      <c r="H33" s="41" t="s">
        <v>9</v>
      </c>
      <c r="I33" s="41">
        <v>3</v>
      </c>
      <c r="K33" s="35" t="s">
        <v>720</v>
      </c>
      <c r="L33" s="41">
        <v>43</v>
      </c>
    </row>
    <row r="34" spans="2:12" x14ac:dyDescent="0.35">
      <c r="B34" s="35" t="str">
        <v xml:space="preserve">Finance </v>
      </c>
      <c r="C34" s="39">
        <v>7</v>
      </c>
      <c r="H34" s="41" t="s">
        <v>85</v>
      </c>
      <c r="I34" s="41">
        <v>17</v>
      </c>
      <c r="K34" s="35" t="s">
        <v>718</v>
      </c>
      <c r="L34" s="41">
        <v>34</v>
      </c>
    </row>
    <row r="35" spans="2:12" ht="15" thickBot="1" x14ac:dyDescent="0.4">
      <c r="B35" s="35" t="str">
        <v>Administration</v>
      </c>
      <c r="C35" s="39">
        <v>5</v>
      </c>
      <c r="H35" s="41" t="s">
        <v>89</v>
      </c>
      <c r="I35" s="41">
        <v>18</v>
      </c>
      <c r="K35" s="37" t="s">
        <v>722</v>
      </c>
      <c r="L35" s="32">
        <v>16</v>
      </c>
    </row>
    <row r="36" spans="2:12" x14ac:dyDescent="0.35">
      <c r="B36" s="35" t="str">
        <v>Marketing</v>
      </c>
      <c r="C36" s="39">
        <v>5</v>
      </c>
      <c r="H36" s="41" t="s">
        <v>17</v>
      </c>
      <c r="I36" s="41">
        <v>21</v>
      </c>
      <c r="K36" s="45" t="str" cm="1">
        <f t="array" ref="K36:L41">INDEX(K30:L35, 0, 0)</f>
        <v>Age_range</v>
      </c>
      <c r="L36" s="34" t="str">
        <v>Count of Employee_name</v>
      </c>
    </row>
    <row r="37" spans="2:12" x14ac:dyDescent="0.35">
      <c r="B37" s="35" t="str">
        <v>Human Resources</v>
      </c>
      <c r="C37" s="39">
        <v>4</v>
      </c>
      <c r="H37" s="41" t="s">
        <v>10</v>
      </c>
      <c r="I37" s="41">
        <v>23</v>
      </c>
      <c r="K37" s="35" t="str">
        <v>20 - 30</v>
      </c>
      <c r="L37" s="39">
        <v>26</v>
      </c>
    </row>
    <row r="38" spans="2:12" x14ac:dyDescent="0.35">
      <c r="B38" s="35" t="str">
        <v>Management</v>
      </c>
      <c r="C38" s="39">
        <v>4</v>
      </c>
      <c r="H38" s="41" t="s">
        <v>34</v>
      </c>
      <c r="I38" s="41">
        <v>29</v>
      </c>
      <c r="K38" s="35" t="str">
        <v>31 - 41</v>
      </c>
      <c r="L38" s="39">
        <v>32</v>
      </c>
    </row>
    <row r="39" spans="2:12" ht="15" thickBot="1" x14ac:dyDescent="0.4">
      <c r="B39" s="37" t="str">
        <v>Information Technology</v>
      </c>
      <c r="C39" s="40">
        <v>2</v>
      </c>
      <c r="H39" s="32" t="s">
        <v>24</v>
      </c>
      <c r="I39" s="32">
        <v>37</v>
      </c>
      <c r="K39" s="35" t="str">
        <v>42 - 52</v>
      </c>
      <c r="L39" s="39">
        <v>43</v>
      </c>
    </row>
    <row r="40" spans="2:12" x14ac:dyDescent="0.35">
      <c r="K40" s="35" t="str">
        <v>53 - 63</v>
      </c>
      <c r="L40" s="39">
        <v>34</v>
      </c>
    </row>
    <row r="41" spans="2:12" ht="15" thickBot="1" x14ac:dyDescent="0.4">
      <c r="K41" s="37" t="str">
        <v>Above 63</v>
      </c>
      <c r="L41" s="40">
        <v>16</v>
      </c>
    </row>
    <row r="76" ht="15" thickBot="1" x14ac:dyDescent="0.4"/>
  </sheetData>
  <autoFilter ref="B30:C39" xr:uid="{C537E1B1-FE7F-4B50-B4D8-57B8534BBBC5}"/>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34EF-4F22-4183-AEB3-4338390A1393}">
  <sheetPr codeName="Sheet1">
    <tabColor theme="1" tint="0.249977111117893"/>
    <pageSetUpPr fitToPage="1"/>
  </sheetPr>
  <dimension ref="B1:Y30"/>
  <sheetViews>
    <sheetView showRowColHeaders="0" tabSelected="1" topLeftCell="F12" workbookViewId="0">
      <selection activeCell="O25" sqref="O25"/>
    </sheetView>
  </sheetViews>
  <sheetFormatPr defaultColWidth="9.1796875" defaultRowHeight="14.5" x14ac:dyDescent="0.35"/>
  <cols>
    <col min="1" max="1" width="4.26953125" style="6" customWidth="1"/>
    <col min="2" max="3" width="9.1796875" style="6"/>
    <col min="4" max="4" width="32.1796875" style="6" customWidth="1"/>
    <col min="5" max="5" width="9.1796875" style="6"/>
    <col min="6" max="6" width="54.1796875" style="6" customWidth="1"/>
    <col min="7" max="16384" width="9.1796875" style="6"/>
  </cols>
  <sheetData>
    <row r="1" spans="2:25" ht="15" thickBot="1" x14ac:dyDescent="0.4"/>
    <row r="2" spans="2:25" x14ac:dyDescent="0.35">
      <c r="B2" s="7"/>
      <c r="C2" s="8"/>
      <c r="D2" s="8"/>
      <c r="E2" s="8"/>
      <c r="F2" s="8"/>
      <c r="G2" s="8"/>
      <c r="H2" s="8"/>
      <c r="I2" s="8"/>
      <c r="J2" s="8"/>
      <c r="K2" s="8"/>
      <c r="L2" s="9"/>
    </row>
    <row r="3" spans="2:25" ht="20.25" customHeight="1" x14ac:dyDescent="0.35">
      <c r="B3" s="10"/>
      <c r="F3" s="46" t="s">
        <v>746</v>
      </c>
      <c r="L3" s="11"/>
    </row>
    <row r="4" spans="2:25" x14ac:dyDescent="0.35">
      <c r="B4" s="10"/>
      <c r="L4" s="11"/>
    </row>
    <row r="5" spans="2:25" x14ac:dyDescent="0.35">
      <c r="B5" s="10"/>
      <c r="L5" s="11"/>
    </row>
    <row r="6" spans="2:25" x14ac:dyDescent="0.35">
      <c r="B6" s="10"/>
      <c r="L6" s="11"/>
    </row>
    <row r="7" spans="2:25" x14ac:dyDescent="0.35">
      <c r="B7" s="10"/>
      <c r="L7" s="11"/>
    </row>
    <row r="8" spans="2:25" x14ac:dyDescent="0.35">
      <c r="B8" s="10"/>
      <c r="L8" s="11"/>
      <c r="U8" s="49" t="s">
        <v>728</v>
      </c>
      <c r="V8" s="50"/>
      <c r="W8" s="50"/>
      <c r="X8" s="50"/>
      <c r="Y8" s="50"/>
    </row>
    <row r="9" spans="2:25" x14ac:dyDescent="0.35">
      <c r="B9" s="10"/>
      <c r="L9" s="11"/>
      <c r="U9" s="20"/>
      <c r="V9" s="20"/>
      <c r="W9" s="20"/>
      <c r="X9" s="20"/>
      <c r="Y9" s="20"/>
    </row>
    <row r="10" spans="2:25" x14ac:dyDescent="0.35">
      <c r="B10" s="10"/>
      <c r="L10" s="11"/>
      <c r="U10" s="2" t="s">
        <v>729</v>
      </c>
      <c r="V10" s="21">
        <v>20</v>
      </c>
      <c r="W10" s="21">
        <v>20</v>
      </c>
      <c r="X10" s="21">
        <v>32</v>
      </c>
      <c r="Y10" s="22"/>
    </row>
    <row r="11" spans="2:25" x14ac:dyDescent="0.35">
      <c r="B11" s="10"/>
      <c r="L11" s="11"/>
      <c r="U11"/>
      <c r="V11" s="21"/>
      <c r="W11" s="21"/>
      <c r="X11" s="21"/>
      <c r="Y11"/>
    </row>
    <row r="12" spans="2:25" x14ac:dyDescent="0.35">
      <c r="B12" s="10"/>
      <c r="L12" s="11"/>
      <c r="U12" s="2" t="s">
        <v>730</v>
      </c>
      <c r="V12" s="21">
        <v>154</v>
      </c>
      <c r="W12" s="21">
        <v>206</v>
      </c>
      <c r="X12" s="21">
        <v>238</v>
      </c>
      <c r="Y12" s="23"/>
    </row>
    <row r="13" spans="2:25" x14ac:dyDescent="0.35">
      <c r="B13" s="10"/>
      <c r="L13" s="11"/>
      <c r="U13"/>
      <c r="V13" s="21"/>
      <c r="W13" s="21"/>
      <c r="X13" s="21"/>
      <c r="Y13"/>
    </row>
    <row r="14" spans="2:25" x14ac:dyDescent="0.35">
      <c r="B14" s="10"/>
      <c r="L14" s="11"/>
      <c r="U14" s="2" t="s">
        <v>731</v>
      </c>
      <c r="V14" s="21">
        <v>145</v>
      </c>
      <c r="W14" s="21">
        <v>51</v>
      </c>
      <c r="X14" s="21">
        <v>29</v>
      </c>
      <c r="Y14" s="24"/>
    </row>
    <row r="15" spans="2:25" x14ac:dyDescent="0.35">
      <c r="B15" s="10"/>
      <c r="L15" s="11"/>
      <c r="U15"/>
      <c r="V15" s="21"/>
      <c r="W15" s="21"/>
      <c r="X15" s="21"/>
      <c r="Y15"/>
    </row>
    <row r="16" spans="2:25" x14ac:dyDescent="0.35">
      <c r="B16" s="10"/>
      <c r="L16" s="11"/>
      <c r="U16" s="2" t="s">
        <v>732</v>
      </c>
      <c r="V16" s="21">
        <v>117</v>
      </c>
      <c r="W16" s="21">
        <v>138</v>
      </c>
      <c r="X16" s="21">
        <v>51</v>
      </c>
      <c r="Y16" s="25"/>
    </row>
    <row r="17" spans="2:25" x14ac:dyDescent="0.35">
      <c r="B17" s="10"/>
      <c r="L17" s="11"/>
      <c r="N17" s="51"/>
      <c r="U17"/>
      <c r="V17" s="21"/>
      <c r="W17" s="21"/>
      <c r="X17" s="21"/>
      <c r="Y17"/>
    </row>
    <row r="18" spans="2:25" x14ac:dyDescent="0.35">
      <c r="B18" s="10"/>
      <c r="L18" s="11"/>
      <c r="N18" s="51"/>
      <c r="U18" s="2" t="s">
        <v>733</v>
      </c>
      <c r="V18" s="21">
        <v>57</v>
      </c>
      <c r="W18" s="21">
        <v>54</v>
      </c>
      <c r="X18" s="21">
        <v>86</v>
      </c>
      <c r="Y18" s="26"/>
    </row>
    <row r="19" spans="2:25" x14ac:dyDescent="0.35">
      <c r="B19" s="10"/>
      <c r="L19" s="11"/>
      <c r="U19"/>
      <c r="V19"/>
      <c r="W19"/>
      <c r="X19"/>
      <c r="Y19"/>
    </row>
    <row r="20" spans="2:25" x14ac:dyDescent="0.35">
      <c r="B20" s="10"/>
      <c r="L20" s="11"/>
      <c r="U20" s="2" t="s">
        <v>734</v>
      </c>
      <c r="V20" s="21">
        <v>18</v>
      </c>
      <c r="W20" s="21">
        <v>20</v>
      </c>
      <c r="X20" s="21">
        <v>32</v>
      </c>
      <c r="Y20" s="27"/>
    </row>
    <row r="21" spans="2:25" x14ac:dyDescent="0.35">
      <c r="B21" s="10"/>
      <c r="L21" s="11"/>
      <c r="U21"/>
      <c r="V21"/>
      <c r="W21"/>
      <c r="X21"/>
      <c r="Y21"/>
    </row>
    <row r="22" spans="2:25" x14ac:dyDescent="0.35">
      <c r="B22" s="10"/>
      <c r="L22" s="11"/>
      <c r="U22" s="2" t="s">
        <v>735</v>
      </c>
      <c r="V22" s="21">
        <v>32</v>
      </c>
      <c r="W22" s="21">
        <v>32</v>
      </c>
      <c r="X22" s="21">
        <v>41</v>
      </c>
      <c r="Y22" s="28"/>
    </row>
    <row r="23" spans="2:25" x14ac:dyDescent="0.35">
      <c r="B23" s="10"/>
      <c r="L23" s="11"/>
      <c r="U23"/>
      <c r="V23"/>
      <c r="W23"/>
      <c r="X23"/>
      <c r="Y23"/>
    </row>
    <row r="24" spans="2:25" x14ac:dyDescent="0.35">
      <c r="B24" s="10"/>
      <c r="L24" s="11"/>
      <c r="U24" s="2" t="s">
        <v>736</v>
      </c>
      <c r="V24" s="21">
        <v>23</v>
      </c>
      <c r="W24" s="21">
        <v>18</v>
      </c>
      <c r="X24" s="21">
        <v>31</v>
      </c>
      <c r="Y24" s="29"/>
    </row>
    <row r="25" spans="2:25" x14ac:dyDescent="0.35">
      <c r="B25" s="10"/>
      <c r="L25" s="11"/>
      <c r="U25"/>
      <c r="V25"/>
      <c r="W25"/>
      <c r="X25"/>
      <c r="Y25"/>
    </row>
    <row r="26" spans="2:25" x14ac:dyDescent="0.35">
      <c r="B26" s="10"/>
      <c r="L26" s="11"/>
      <c r="V26" s="6">
        <v>238</v>
      </c>
      <c r="W26" s="6">
        <v>40</v>
      </c>
      <c r="X26" s="6">
        <v>104</v>
      </c>
      <c r="Y26" s="47"/>
    </row>
    <row r="27" spans="2:25" x14ac:dyDescent="0.35">
      <c r="B27" s="10"/>
      <c r="L27" s="11"/>
      <c r="V27" s="6">
        <v>48</v>
      </c>
      <c r="W27" s="6">
        <v>114</v>
      </c>
      <c r="X27" s="6">
        <v>106</v>
      </c>
      <c r="Y27" s="48"/>
    </row>
    <row r="28" spans="2:25" x14ac:dyDescent="0.35">
      <c r="B28" s="10"/>
      <c r="L28" s="11"/>
    </row>
    <row r="29" spans="2:25" ht="15" thickBot="1" x14ac:dyDescent="0.4">
      <c r="B29" s="12"/>
      <c r="C29" s="13"/>
      <c r="D29" s="13"/>
      <c r="E29" s="13"/>
      <c r="F29" s="13"/>
      <c r="G29" s="13"/>
      <c r="H29" s="13"/>
      <c r="I29" s="13"/>
      <c r="J29" s="13"/>
      <c r="K29" s="13"/>
      <c r="L29" s="14"/>
      <c r="N29" s="51"/>
    </row>
    <row r="30" spans="2:25" x14ac:dyDescent="0.35">
      <c r="N30" s="51"/>
    </row>
  </sheetData>
  <mergeCells count="1">
    <mergeCell ref="U8:Y8"/>
  </mergeCells>
  <pageMargins left="0.25" right="0.25" top="0.75" bottom="0.75" header="0.3" footer="0.3"/>
  <pageSetup scale="45"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7FBD9D16-8896-40AE-B7FD-B519CD2AF4DE}">
            <xm:f>search!$B$2</xm:f>
            <x14:dxf>
              <font>
                <b/>
                <i val="0"/>
              </font>
              <fill>
                <patternFill>
                  <bgColor rgb="FFFF3399"/>
                </patternFill>
              </fill>
              <border>
                <left/>
                <right/>
                <top/>
                <bottom/>
                <vertical/>
                <horizontal/>
              </border>
            </x14:dxf>
          </x14:cfRule>
          <x14:cfRule type="expression" priority="2" id="{66A305B4-D4F8-435B-88DC-249FC2A4F5B5}">
            <xm:f>search!$B$2</xm:f>
            <x14:dxf/>
          </x14:cfRule>
          <x14:cfRule type="expression" priority="3" id="{737DF0CE-2592-4C7F-B3E5-6E6DAFBD44E3}">
            <xm:f>search!$B$2</xm:f>
            <x14:dxf/>
          </x14:cfRule>
          <x14:cfRule type="expression" priority="4" id="{A8F99202-A4C3-4201-B7A3-1A4BF9DB8B29}">
            <xm:f>search!$B$2</xm:f>
            <x14:dxf>
              <font>
                <b/>
                <i val="0"/>
                <color auto="1"/>
              </font>
              <border>
                <left/>
                <right/>
                <top/>
                <bottom/>
                <vertical/>
                <horizontal/>
              </border>
            </x14:dxf>
          </x14:cfRule>
          <x14:cfRule type="expression" priority="5" id="{CB76166A-87C7-4B07-A91B-0C0734A69AEA}">
            <xm:f>search!$B$2</xm:f>
            <x14:dxf>
              <font>
                <b/>
                <i val="0"/>
                <color theme="0" tint="-0.14996795556505021"/>
              </font>
              <fill>
                <patternFill patternType="none">
                  <fgColor indexed="64"/>
                  <bgColor auto="1"/>
                </patternFill>
              </fill>
              <border>
                <left/>
                <right/>
                <top/>
                <bottom/>
                <vertical/>
                <horizontal/>
              </border>
            </x14:dxf>
          </x14:cfRule>
          <xm:sqref>F3</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F227-7772-4658-80F3-738301D0A167}">
  <sheetPr codeName="Sheet5"/>
  <dimension ref="B2:X156"/>
  <sheetViews>
    <sheetView topLeftCell="I1" zoomScale="77" zoomScaleNormal="77" workbookViewId="0">
      <selection activeCell="P31" sqref="P31"/>
    </sheetView>
  </sheetViews>
  <sheetFormatPr defaultRowHeight="14.5" x14ac:dyDescent="0.35"/>
  <cols>
    <col min="3" max="3" width="28.54296875" bestFit="1" customWidth="1"/>
    <col min="4" max="4" width="9.54296875" bestFit="1" customWidth="1"/>
    <col min="5" max="5" width="6.7265625" bestFit="1" customWidth="1"/>
    <col min="6" max="6" width="8.81640625" bestFit="1" customWidth="1"/>
    <col min="7" max="7" width="17" bestFit="1" customWidth="1"/>
    <col min="8" max="8" width="33.453125" bestFit="1" customWidth="1"/>
    <col min="9" max="9" width="10.54296875" bestFit="1" customWidth="1"/>
    <col min="10" max="10" width="22.54296875" bestFit="1" customWidth="1"/>
    <col min="11" max="11" width="18.54296875" bestFit="1" customWidth="1"/>
    <col min="12" max="12" width="19.54296875" bestFit="1" customWidth="1"/>
    <col min="13" max="13" width="6.1796875" customWidth="1"/>
    <col min="14" max="14" width="22.453125" bestFit="1" customWidth="1"/>
    <col min="15" max="15" width="17.26953125" bestFit="1" customWidth="1"/>
    <col min="22" max="22" width="11" customWidth="1"/>
  </cols>
  <sheetData>
    <row r="2" spans="2:24" x14ac:dyDescent="0.35">
      <c r="B2">
        <f>COUNTA(dashboard!F3)</f>
        <v>1</v>
      </c>
    </row>
    <row r="3" spans="2:24" x14ac:dyDescent="0.35">
      <c r="C3" s="16" t="s">
        <v>708</v>
      </c>
      <c r="D3" s="16" t="s">
        <v>711</v>
      </c>
      <c r="E3" s="16" t="s">
        <v>712</v>
      </c>
      <c r="F3" s="16" t="s">
        <v>737</v>
      </c>
      <c r="G3" s="16" t="s">
        <v>5</v>
      </c>
      <c r="H3" s="16" t="s">
        <v>6</v>
      </c>
      <c r="I3" s="16" t="s">
        <v>713</v>
      </c>
      <c r="J3" s="16" t="s">
        <v>714</v>
      </c>
      <c r="K3" s="16" t="s">
        <v>0</v>
      </c>
      <c r="L3" s="16" t="s">
        <v>1</v>
      </c>
      <c r="M3" s="16" t="s">
        <v>725</v>
      </c>
      <c r="N3" s="16" t="s">
        <v>4</v>
      </c>
      <c r="O3" s="16" t="s">
        <v>717</v>
      </c>
    </row>
    <row r="5" spans="2:24" x14ac:dyDescent="0.35">
      <c r="C5" s="19" t="s">
        <v>708</v>
      </c>
      <c r="D5" s="19" t="s">
        <v>711</v>
      </c>
      <c r="E5" s="19" t="s">
        <v>712</v>
      </c>
      <c r="F5" s="19" t="s">
        <v>737</v>
      </c>
      <c r="G5" s="19" t="s">
        <v>5</v>
      </c>
      <c r="H5" s="19" t="s">
        <v>6</v>
      </c>
      <c r="I5" s="19" t="s">
        <v>713</v>
      </c>
      <c r="J5" s="19" t="s">
        <v>0</v>
      </c>
      <c r="K5" s="19" t="s">
        <v>714</v>
      </c>
      <c r="L5" s="19" t="s">
        <v>717</v>
      </c>
      <c r="N5" t="s">
        <v>708</v>
      </c>
      <c r="O5" t="s">
        <v>711</v>
      </c>
      <c r="P5" t="s">
        <v>712</v>
      </c>
      <c r="Q5" t="s">
        <v>737</v>
      </c>
      <c r="R5" t="s">
        <v>5</v>
      </c>
      <c r="S5" t="s">
        <v>6</v>
      </c>
      <c r="T5" t="s">
        <v>713</v>
      </c>
      <c r="U5" t="s">
        <v>0</v>
      </c>
      <c r="V5" t="s">
        <v>714</v>
      </c>
      <c r="W5" t="s">
        <v>717</v>
      </c>
    </row>
    <row r="6" spans="2:24" x14ac:dyDescent="0.35">
      <c r="C6" t="s">
        <v>637</v>
      </c>
      <c r="D6" t="s">
        <v>139</v>
      </c>
      <c r="E6">
        <v>26</v>
      </c>
      <c r="F6" t="s">
        <v>126</v>
      </c>
      <c r="G6" t="s">
        <v>638</v>
      </c>
      <c r="H6" t="s">
        <v>639</v>
      </c>
      <c r="I6" t="s">
        <v>125</v>
      </c>
      <c r="J6" t="s">
        <v>62</v>
      </c>
      <c r="K6" t="s">
        <v>127</v>
      </c>
      <c r="L6" t="s">
        <v>719</v>
      </c>
      <c r="N6" t="str">
        <f>IF($B$2=1, C5, "")</f>
        <v>Employee_name</v>
      </c>
      <c r="O6" t="str">
        <f t="shared" ref="O6:W6" si="0">IF($B$2=1, D5, "")</f>
        <v>gender</v>
      </c>
      <c r="P6" t="str">
        <f t="shared" si="0"/>
        <v>Age</v>
      </c>
      <c r="Q6" t="str">
        <f t="shared" si="0"/>
        <v>Status</v>
      </c>
      <c r="R6" t="str">
        <f t="shared" si="0"/>
        <v>Office Tel</v>
      </c>
      <c r="S6" t="str">
        <f t="shared" si="0"/>
        <v>Email</v>
      </c>
      <c r="T6" t="str">
        <f t="shared" si="0"/>
        <v>Religion</v>
      </c>
      <c r="U6" t="str">
        <f t="shared" si="0"/>
        <v>Department</v>
      </c>
      <c r="V6" t="str">
        <f t="shared" si="0"/>
        <v>Employee_status</v>
      </c>
      <c r="W6" t="str">
        <f t="shared" si="0"/>
        <v>Employee_review</v>
      </c>
      <c r="X6" t="str">
        <f t="shared" ref="X6" si="1">IF(L2=1, M5, "")</f>
        <v/>
      </c>
    </row>
    <row r="7" spans="2:24" x14ac:dyDescent="0.35">
      <c r="C7" t="s">
        <v>330</v>
      </c>
      <c r="D7" t="s">
        <v>139</v>
      </c>
      <c r="E7">
        <v>30</v>
      </c>
      <c r="F7" t="s">
        <v>150</v>
      </c>
      <c r="G7" t="s">
        <v>331</v>
      </c>
      <c r="H7" t="s">
        <v>332</v>
      </c>
      <c r="I7" t="s">
        <v>149</v>
      </c>
      <c r="J7" t="s">
        <v>43</v>
      </c>
      <c r="K7" t="s">
        <v>127</v>
      </c>
      <c r="L7" t="s">
        <v>719</v>
      </c>
      <c r="N7" t="str">
        <f>IFERROR(VLOOKUP(dashboard!$F$3,searchrange,MATCH(N6,$C$5:$L$5, 0), 0), "")</f>
        <v>Punjab</v>
      </c>
      <c r="O7" t="str">
        <f>IFERROR(VLOOKUP(dashboard!$F$3,searchrange,MATCH(O6,$C$5:$L$5, 0), 0), "")</f>
        <v>Male</v>
      </c>
      <c r="P7">
        <f>IFERROR(VLOOKUP(dashboard!$F$3,searchrange,MATCH(P6,$C$5:$L$5, 0), 0), "")</f>
        <v>50</v>
      </c>
      <c r="Q7" t="str">
        <f>IFERROR(VLOOKUP(dashboard!$F$3,searchrange,MATCH(Q6,$C$5:$L$5, 0), 0), "")</f>
        <v>Married</v>
      </c>
      <c r="R7" t="str">
        <f>IFERROR(VLOOKUP(dashboard!$F$3,searchrange,MATCH(R6,$C$5:$L$5, 0), 0), "")</f>
        <v>+20 20 13419736</v>
      </c>
      <c r="S7" t="str">
        <f>IFERROR(VLOOKUP(dashboard!$F$3,searchrange,MATCH(S6,$C$5:$L$5, 0), 0), "")</f>
        <v>Besan.Omar@Rare.com</v>
      </c>
      <c r="T7" t="str">
        <f>IFERROR(VLOOKUP(dashboard!$F$3,searchrange,MATCH(T6,$C$5:$L$5, 0), 0), "")</f>
        <v>Muslim</v>
      </c>
      <c r="U7" t="str">
        <f>IFERROR(VLOOKUP(dashboard!$F$3,searchrange,MATCH(U6,$C$5:$L$5, 0), 0), "")</f>
        <v>Sales</v>
      </c>
      <c r="V7" t="str">
        <f>IFERROR(VLOOKUP(dashboard!$F$3,searchrange,MATCH(V6,$C$5:$L$5, 0), 0), "")</f>
        <v>Active</v>
      </c>
      <c r="W7" t="str">
        <f>IFERROR(VLOOKUP(dashboard!$F$3,searchrange,MATCH(W6,$C$5:$L$5, 0), 0), "")</f>
        <v>In_service</v>
      </c>
    </row>
    <row r="8" spans="2:24" x14ac:dyDescent="0.35">
      <c r="C8" t="s">
        <v>349</v>
      </c>
      <c r="D8" t="s">
        <v>124</v>
      </c>
      <c r="E8">
        <v>63</v>
      </c>
      <c r="F8" t="s">
        <v>150</v>
      </c>
      <c r="G8" t="s">
        <v>351</v>
      </c>
      <c r="H8" t="s">
        <v>352</v>
      </c>
      <c r="I8" t="s">
        <v>145</v>
      </c>
      <c r="J8" t="s">
        <v>16</v>
      </c>
      <c r="K8" t="s">
        <v>127</v>
      </c>
      <c r="L8" t="s">
        <v>719</v>
      </c>
    </row>
    <row r="9" spans="2:24" x14ac:dyDescent="0.35">
      <c r="C9" t="s">
        <v>426</v>
      </c>
      <c r="D9" t="s">
        <v>124</v>
      </c>
      <c r="E9">
        <v>50</v>
      </c>
      <c r="F9" t="s">
        <v>126</v>
      </c>
      <c r="G9" t="s">
        <v>427</v>
      </c>
      <c r="H9" t="s">
        <v>428</v>
      </c>
      <c r="I9" t="s">
        <v>145</v>
      </c>
      <c r="J9" t="s">
        <v>16</v>
      </c>
      <c r="K9" t="s">
        <v>127</v>
      </c>
      <c r="L9" t="s">
        <v>719</v>
      </c>
    </row>
    <row r="10" spans="2:24" x14ac:dyDescent="0.35">
      <c r="C10" t="s">
        <v>306</v>
      </c>
      <c r="D10" t="s">
        <v>139</v>
      </c>
      <c r="E10">
        <v>42</v>
      </c>
      <c r="F10" t="s">
        <v>150</v>
      </c>
      <c r="G10" t="s">
        <v>307</v>
      </c>
      <c r="H10" t="s">
        <v>308</v>
      </c>
      <c r="I10" t="s">
        <v>125</v>
      </c>
      <c r="J10" t="s">
        <v>16</v>
      </c>
      <c r="K10" t="s">
        <v>127</v>
      </c>
      <c r="L10" t="s">
        <v>719</v>
      </c>
      <c r="N10" t="s">
        <v>742</v>
      </c>
      <c r="O10" t="str">
        <f>IF(N6="", 0, "yes")</f>
        <v>yes</v>
      </c>
    </row>
    <row r="11" spans="2:24" x14ac:dyDescent="0.35">
      <c r="C11" t="s">
        <v>200</v>
      </c>
      <c r="D11" t="s">
        <v>139</v>
      </c>
      <c r="E11">
        <v>37</v>
      </c>
      <c r="F11" t="s">
        <v>126</v>
      </c>
      <c r="G11" t="s">
        <v>201</v>
      </c>
      <c r="H11" t="s">
        <v>202</v>
      </c>
      <c r="I11" t="s">
        <v>145</v>
      </c>
      <c r="J11" t="s">
        <v>43</v>
      </c>
      <c r="K11" t="s">
        <v>127</v>
      </c>
      <c r="L11" t="s">
        <v>719</v>
      </c>
      <c r="N11" t="s">
        <v>743</v>
      </c>
      <c r="O11" t="str">
        <f>IF(N7="",0, "yes")</f>
        <v>yes</v>
      </c>
    </row>
    <row r="12" spans="2:24" x14ac:dyDescent="0.35">
      <c r="C12" t="s">
        <v>174</v>
      </c>
      <c r="D12" t="s">
        <v>124</v>
      </c>
      <c r="E12">
        <v>46</v>
      </c>
      <c r="F12" t="s">
        <v>126</v>
      </c>
      <c r="G12" t="s">
        <v>175</v>
      </c>
      <c r="H12" t="s">
        <v>176</v>
      </c>
      <c r="I12" t="s">
        <v>125</v>
      </c>
      <c r="J12" t="s">
        <v>33</v>
      </c>
      <c r="K12" t="s">
        <v>132</v>
      </c>
      <c r="L12" t="s">
        <v>719</v>
      </c>
      <c r="N12" t="s">
        <v>744</v>
      </c>
      <c r="O12" t="b">
        <f>O10=O11</f>
        <v>1</v>
      </c>
    </row>
    <row r="13" spans="2:24" x14ac:dyDescent="0.35">
      <c r="C13" t="s">
        <v>660</v>
      </c>
      <c r="D13" t="s">
        <v>124</v>
      </c>
      <c r="E13">
        <v>29</v>
      </c>
      <c r="F13" t="s">
        <v>508</v>
      </c>
      <c r="G13" t="s">
        <v>661</v>
      </c>
      <c r="H13" t="s">
        <v>662</v>
      </c>
      <c r="I13" t="s">
        <v>125</v>
      </c>
      <c r="J13" t="s">
        <v>62</v>
      </c>
      <c r="K13" t="s">
        <v>127</v>
      </c>
      <c r="L13" t="s">
        <v>719</v>
      </c>
      <c r="N13" t="s">
        <v>745</v>
      </c>
      <c r="O13" t="str">
        <f>IF(O12=TRUE, "", "Employee records not found, retry")</f>
        <v/>
      </c>
    </row>
    <row r="14" spans="2:24" x14ac:dyDescent="0.35">
      <c r="C14" t="s">
        <v>195</v>
      </c>
      <c r="D14" t="s">
        <v>124</v>
      </c>
      <c r="E14">
        <v>69</v>
      </c>
      <c r="F14" t="s">
        <v>126</v>
      </c>
      <c r="G14" t="s">
        <v>196</v>
      </c>
      <c r="H14" t="s">
        <v>197</v>
      </c>
      <c r="I14" t="s">
        <v>145</v>
      </c>
      <c r="J14" t="s">
        <v>62</v>
      </c>
      <c r="K14" t="s">
        <v>127</v>
      </c>
      <c r="L14" t="s">
        <v>723</v>
      </c>
    </row>
    <row r="15" spans="2:24" x14ac:dyDescent="0.35">
      <c r="C15" t="s">
        <v>355</v>
      </c>
      <c r="D15" t="s">
        <v>124</v>
      </c>
      <c r="E15">
        <v>64</v>
      </c>
      <c r="F15" t="s">
        <v>126</v>
      </c>
      <c r="G15" t="s">
        <v>356</v>
      </c>
      <c r="H15" t="s">
        <v>357</v>
      </c>
      <c r="I15" t="s">
        <v>125</v>
      </c>
      <c r="J15" t="s">
        <v>16</v>
      </c>
      <c r="K15" t="s">
        <v>127</v>
      </c>
      <c r="L15" t="s">
        <v>723</v>
      </c>
    </row>
    <row r="16" spans="2:24" x14ac:dyDescent="0.35">
      <c r="C16" t="s">
        <v>648</v>
      </c>
      <c r="D16" t="s">
        <v>139</v>
      </c>
      <c r="E16">
        <v>61</v>
      </c>
      <c r="F16" t="s">
        <v>150</v>
      </c>
      <c r="G16" t="s">
        <v>649</v>
      </c>
      <c r="H16" t="s">
        <v>650</v>
      </c>
      <c r="I16" t="s">
        <v>149</v>
      </c>
      <c r="J16" t="s">
        <v>62</v>
      </c>
      <c r="K16" t="s">
        <v>127</v>
      </c>
      <c r="L16" t="s">
        <v>719</v>
      </c>
    </row>
    <row r="17" spans="3:12" x14ac:dyDescent="0.35">
      <c r="C17" t="s">
        <v>609</v>
      </c>
      <c r="D17" t="s">
        <v>124</v>
      </c>
      <c r="E17">
        <v>68</v>
      </c>
      <c r="F17" t="s">
        <v>126</v>
      </c>
      <c r="G17" t="s">
        <v>610</v>
      </c>
      <c r="H17" t="s">
        <v>611</v>
      </c>
      <c r="I17" t="s">
        <v>125</v>
      </c>
      <c r="J17" t="s">
        <v>62</v>
      </c>
      <c r="K17" t="s">
        <v>127</v>
      </c>
      <c r="L17" t="s">
        <v>723</v>
      </c>
    </row>
    <row r="18" spans="3:12" x14ac:dyDescent="0.35">
      <c r="C18" t="s">
        <v>460</v>
      </c>
      <c r="D18" t="s">
        <v>124</v>
      </c>
      <c r="E18">
        <v>58</v>
      </c>
      <c r="F18" t="s">
        <v>126</v>
      </c>
      <c r="G18" t="s">
        <v>461</v>
      </c>
      <c r="H18" t="s">
        <v>462</v>
      </c>
      <c r="I18" t="s">
        <v>125</v>
      </c>
      <c r="J18" t="s">
        <v>62</v>
      </c>
      <c r="K18" t="s">
        <v>127</v>
      </c>
      <c r="L18" t="s">
        <v>719</v>
      </c>
    </row>
    <row r="19" spans="3:12" x14ac:dyDescent="0.35">
      <c r="C19" t="s">
        <v>395</v>
      </c>
      <c r="D19" t="s">
        <v>124</v>
      </c>
      <c r="E19">
        <v>42</v>
      </c>
      <c r="F19" t="s">
        <v>126</v>
      </c>
      <c r="G19" t="s">
        <v>396</v>
      </c>
      <c r="H19" t="s">
        <v>397</v>
      </c>
      <c r="I19" t="s">
        <v>149</v>
      </c>
      <c r="J19" t="s">
        <v>16</v>
      </c>
      <c r="K19" t="s">
        <v>127</v>
      </c>
      <c r="L19" t="s">
        <v>719</v>
      </c>
    </row>
    <row r="20" spans="3:12" x14ac:dyDescent="0.35">
      <c r="C20" t="s">
        <v>363</v>
      </c>
      <c r="D20" t="s">
        <v>124</v>
      </c>
      <c r="E20">
        <v>54</v>
      </c>
      <c r="F20" t="s">
        <v>150</v>
      </c>
      <c r="G20" t="s">
        <v>364</v>
      </c>
      <c r="H20" t="s">
        <v>365</v>
      </c>
      <c r="I20" t="s">
        <v>149</v>
      </c>
      <c r="J20" t="s">
        <v>62</v>
      </c>
      <c r="K20" t="s">
        <v>127</v>
      </c>
      <c r="L20" t="s">
        <v>719</v>
      </c>
    </row>
    <row r="21" spans="3:12" x14ac:dyDescent="0.35">
      <c r="C21" t="s">
        <v>507</v>
      </c>
      <c r="D21" t="s">
        <v>124</v>
      </c>
      <c r="E21">
        <v>28</v>
      </c>
      <c r="F21" t="s">
        <v>150</v>
      </c>
      <c r="G21" t="s">
        <v>509</v>
      </c>
      <c r="H21" t="s">
        <v>510</v>
      </c>
      <c r="I21" t="s">
        <v>125</v>
      </c>
      <c r="J21" t="s">
        <v>62</v>
      </c>
      <c r="K21" t="s">
        <v>127</v>
      </c>
      <c r="L21" t="s">
        <v>719</v>
      </c>
    </row>
    <row r="22" spans="3:12" x14ac:dyDescent="0.35">
      <c r="C22" t="s">
        <v>7</v>
      </c>
      <c r="D22" t="s">
        <v>124</v>
      </c>
      <c r="E22">
        <v>67</v>
      </c>
      <c r="F22" t="s">
        <v>126</v>
      </c>
      <c r="G22" t="s">
        <v>13</v>
      </c>
      <c r="H22" t="s">
        <v>14</v>
      </c>
      <c r="I22" t="s">
        <v>125</v>
      </c>
      <c r="J22" t="s">
        <v>8</v>
      </c>
      <c r="K22" t="s">
        <v>127</v>
      </c>
      <c r="L22" t="s">
        <v>723</v>
      </c>
    </row>
    <row r="23" spans="3:12" x14ac:dyDescent="0.35">
      <c r="C23" t="s">
        <v>311</v>
      </c>
      <c r="D23" t="s">
        <v>124</v>
      </c>
      <c r="E23">
        <v>25</v>
      </c>
      <c r="F23" t="s">
        <v>126</v>
      </c>
      <c r="G23" t="s">
        <v>313</v>
      </c>
      <c r="H23" t="s">
        <v>314</v>
      </c>
      <c r="I23" t="s">
        <v>149</v>
      </c>
      <c r="J23" t="s">
        <v>16</v>
      </c>
      <c r="K23" t="s">
        <v>127</v>
      </c>
      <c r="L23" t="s">
        <v>719</v>
      </c>
    </row>
    <row r="24" spans="3:12" x14ac:dyDescent="0.35">
      <c r="C24" t="s">
        <v>215</v>
      </c>
      <c r="D24" t="s">
        <v>124</v>
      </c>
      <c r="E24">
        <v>46</v>
      </c>
      <c r="F24" t="s">
        <v>150</v>
      </c>
      <c r="G24" t="s">
        <v>216</v>
      </c>
      <c r="H24" t="s">
        <v>217</v>
      </c>
      <c r="I24" t="s">
        <v>125</v>
      </c>
      <c r="J24" t="s">
        <v>62</v>
      </c>
      <c r="K24" t="s">
        <v>127</v>
      </c>
      <c r="L24" t="s">
        <v>719</v>
      </c>
    </row>
    <row r="25" spans="3:12" x14ac:dyDescent="0.35">
      <c r="C25" t="s">
        <v>15</v>
      </c>
      <c r="D25" t="s">
        <v>124</v>
      </c>
      <c r="E25">
        <v>29</v>
      </c>
      <c r="F25" t="s">
        <v>126</v>
      </c>
      <c r="G25" t="s">
        <v>21</v>
      </c>
      <c r="H25" t="s">
        <v>22</v>
      </c>
      <c r="I25" t="s">
        <v>125</v>
      </c>
      <c r="J25" t="s">
        <v>16</v>
      </c>
      <c r="K25" t="s">
        <v>132</v>
      </c>
      <c r="L25" t="s">
        <v>719</v>
      </c>
    </row>
    <row r="26" spans="3:12" x14ac:dyDescent="0.35">
      <c r="C26" t="s">
        <v>409</v>
      </c>
      <c r="D26" t="s">
        <v>124</v>
      </c>
      <c r="E26">
        <v>38</v>
      </c>
      <c r="F26" t="s">
        <v>150</v>
      </c>
      <c r="G26" t="s">
        <v>410</v>
      </c>
      <c r="H26" t="s">
        <v>411</v>
      </c>
      <c r="I26" t="s">
        <v>145</v>
      </c>
      <c r="J26" t="s">
        <v>16</v>
      </c>
      <c r="K26" t="s">
        <v>127</v>
      </c>
      <c r="L26" t="s">
        <v>719</v>
      </c>
    </row>
    <row r="27" spans="3:12" x14ac:dyDescent="0.35">
      <c r="C27" t="s">
        <v>23</v>
      </c>
      <c r="D27" t="s">
        <v>139</v>
      </c>
      <c r="E27">
        <v>42</v>
      </c>
      <c r="F27" t="s">
        <v>126</v>
      </c>
      <c r="G27" t="s">
        <v>27</v>
      </c>
      <c r="H27" t="s">
        <v>28</v>
      </c>
      <c r="I27" t="s">
        <v>125</v>
      </c>
      <c r="J27" t="s">
        <v>16</v>
      </c>
      <c r="K27" t="s">
        <v>127</v>
      </c>
      <c r="L27" t="s">
        <v>719</v>
      </c>
    </row>
    <row r="28" spans="3:12" x14ac:dyDescent="0.35">
      <c r="C28" t="s">
        <v>558</v>
      </c>
      <c r="D28" t="s">
        <v>124</v>
      </c>
      <c r="E28">
        <v>26</v>
      </c>
      <c r="F28" t="s">
        <v>126</v>
      </c>
      <c r="G28" t="s">
        <v>559</v>
      </c>
      <c r="H28" t="s">
        <v>560</v>
      </c>
      <c r="I28" t="s">
        <v>125</v>
      </c>
      <c r="J28" t="s">
        <v>185</v>
      </c>
      <c r="K28" t="s">
        <v>127</v>
      </c>
      <c r="L28" t="s">
        <v>719</v>
      </c>
    </row>
    <row r="29" spans="3:12" x14ac:dyDescent="0.35">
      <c r="C29" t="s">
        <v>579</v>
      </c>
      <c r="D29" t="s">
        <v>139</v>
      </c>
      <c r="E29">
        <v>49</v>
      </c>
      <c r="F29" t="s">
        <v>126</v>
      </c>
      <c r="G29" t="s">
        <v>580</v>
      </c>
      <c r="H29" t="s">
        <v>581</v>
      </c>
      <c r="I29" t="s">
        <v>149</v>
      </c>
      <c r="J29" t="s">
        <v>62</v>
      </c>
      <c r="K29" t="s">
        <v>127</v>
      </c>
      <c r="L29" t="s">
        <v>719</v>
      </c>
    </row>
    <row r="30" spans="3:12" x14ac:dyDescent="0.35">
      <c r="C30" t="s">
        <v>29</v>
      </c>
      <c r="D30" t="s">
        <v>124</v>
      </c>
      <c r="E30">
        <v>68</v>
      </c>
      <c r="F30" t="s">
        <v>126</v>
      </c>
      <c r="G30" t="s">
        <v>30</v>
      </c>
      <c r="H30" t="s">
        <v>31</v>
      </c>
      <c r="I30" t="s">
        <v>145</v>
      </c>
      <c r="J30" t="s">
        <v>16</v>
      </c>
      <c r="K30" t="s">
        <v>127</v>
      </c>
      <c r="L30" t="s">
        <v>723</v>
      </c>
    </row>
    <row r="31" spans="3:12" x14ac:dyDescent="0.35">
      <c r="C31" t="s">
        <v>489</v>
      </c>
      <c r="D31" t="s">
        <v>124</v>
      </c>
      <c r="E31">
        <v>46</v>
      </c>
      <c r="F31" t="s">
        <v>126</v>
      </c>
      <c r="G31" t="s">
        <v>490</v>
      </c>
      <c r="H31" t="s">
        <v>491</v>
      </c>
      <c r="I31" t="s">
        <v>125</v>
      </c>
      <c r="J31" t="s">
        <v>62</v>
      </c>
      <c r="K31" t="s">
        <v>127</v>
      </c>
      <c r="L31" t="s">
        <v>719</v>
      </c>
    </row>
    <row r="32" spans="3:12" x14ac:dyDescent="0.35">
      <c r="C32" t="s">
        <v>32</v>
      </c>
      <c r="D32" t="s">
        <v>139</v>
      </c>
      <c r="E32">
        <v>34</v>
      </c>
      <c r="F32" t="s">
        <v>150</v>
      </c>
      <c r="G32" t="s">
        <v>36</v>
      </c>
      <c r="H32" t="s">
        <v>37</v>
      </c>
      <c r="I32" t="s">
        <v>149</v>
      </c>
      <c r="J32" t="s">
        <v>33</v>
      </c>
      <c r="K32" t="s">
        <v>127</v>
      </c>
      <c r="L32" t="s">
        <v>719</v>
      </c>
    </row>
    <row r="33" spans="3:12" x14ac:dyDescent="0.35">
      <c r="C33" t="s">
        <v>517</v>
      </c>
      <c r="D33" t="s">
        <v>124</v>
      </c>
      <c r="E33">
        <v>44</v>
      </c>
      <c r="F33" t="s">
        <v>150</v>
      </c>
      <c r="G33" t="s">
        <v>518</v>
      </c>
      <c r="H33" t="s">
        <v>519</v>
      </c>
      <c r="I33" t="s">
        <v>125</v>
      </c>
      <c r="J33" t="s">
        <v>185</v>
      </c>
      <c r="K33" t="s">
        <v>127</v>
      </c>
      <c r="L33" t="s">
        <v>719</v>
      </c>
    </row>
    <row r="34" spans="3:12" x14ac:dyDescent="0.35">
      <c r="C34" t="s">
        <v>190</v>
      </c>
      <c r="D34" t="s">
        <v>124</v>
      </c>
      <c r="E34">
        <v>47</v>
      </c>
      <c r="F34" t="s">
        <v>150</v>
      </c>
      <c r="G34" t="s">
        <v>191</v>
      </c>
      <c r="H34" t="s">
        <v>192</v>
      </c>
      <c r="I34" t="s">
        <v>125</v>
      </c>
      <c r="J34" t="s">
        <v>8</v>
      </c>
      <c r="K34" t="s">
        <v>127</v>
      </c>
      <c r="L34" t="s">
        <v>719</v>
      </c>
    </row>
    <row r="35" spans="3:12" x14ac:dyDescent="0.35">
      <c r="C35" t="s">
        <v>316</v>
      </c>
      <c r="D35" t="s">
        <v>139</v>
      </c>
      <c r="E35">
        <v>34</v>
      </c>
      <c r="F35" t="s">
        <v>150</v>
      </c>
      <c r="G35" t="s">
        <v>317</v>
      </c>
      <c r="H35" t="s">
        <v>318</v>
      </c>
      <c r="I35" t="s">
        <v>149</v>
      </c>
      <c r="J35" t="s">
        <v>16</v>
      </c>
      <c r="K35" t="s">
        <v>127</v>
      </c>
      <c r="L35" t="s">
        <v>719</v>
      </c>
    </row>
    <row r="36" spans="3:12" x14ac:dyDescent="0.35">
      <c r="C36" t="s">
        <v>480</v>
      </c>
      <c r="D36" t="s">
        <v>139</v>
      </c>
      <c r="E36">
        <v>25</v>
      </c>
      <c r="F36" t="s">
        <v>126</v>
      </c>
      <c r="G36" t="s">
        <v>481</v>
      </c>
      <c r="H36" t="s">
        <v>482</v>
      </c>
      <c r="I36" t="s">
        <v>125</v>
      </c>
      <c r="J36" t="s">
        <v>62</v>
      </c>
      <c r="K36" t="s">
        <v>127</v>
      </c>
      <c r="L36" t="s">
        <v>719</v>
      </c>
    </row>
    <row r="37" spans="3:12" x14ac:dyDescent="0.35">
      <c r="C37" t="s">
        <v>138</v>
      </c>
      <c r="D37" t="s">
        <v>124</v>
      </c>
      <c r="E37">
        <v>30</v>
      </c>
      <c r="F37" t="s">
        <v>126</v>
      </c>
      <c r="G37" t="s">
        <v>140</v>
      </c>
      <c r="H37" t="s">
        <v>141</v>
      </c>
      <c r="I37" t="s">
        <v>125</v>
      </c>
      <c r="J37" t="s">
        <v>16</v>
      </c>
      <c r="K37" t="s">
        <v>127</v>
      </c>
      <c r="L37" t="s">
        <v>719</v>
      </c>
    </row>
    <row r="38" spans="3:12" x14ac:dyDescent="0.35">
      <c r="C38" t="s">
        <v>404</v>
      </c>
      <c r="D38" t="s">
        <v>124</v>
      </c>
      <c r="E38">
        <v>32</v>
      </c>
      <c r="F38" t="s">
        <v>126</v>
      </c>
      <c r="G38" t="s">
        <v>405</v>
      </c>
      <c r="H38" t="s">
        <v>406</v>
      </c>
      <c r="I38" t="s">
        <v>125</v>
      </c>
      <c r="J38" t="s">
        <v>16</v>
      </c>
      <c r="K38" t="s">
        <v>127</v>
      </c>
      <c r="L38" t="s">
        <v>719</v>
      </c>
    </row>
    <row r="39" spans="3:12" x14ac:dyDescent="0.35">
      <c r="C39" t="s">
        <v>156</v>
      </c>
      <c r="D39" t="s">
        <v>124</v>
      </c>
      <c r="E39">
        <v>41</v>
      </c>
      <c r="F39" t="s">
        <v>150</v>
      </c>
      <c r="G39" t="s">
        <v>157</v>
      </c>
      <c r="H39" t="s">
        <v>158</v>
      </c>
      <c r="I39" t="s">
        <v>125</v>
      </c>
      <c r="J39" t="s">
        <v>16</v>
      </c>
      <c r="K39" t="s">
        <v>127</v>
      </c>
      <c r="L39" t="s">
        <v>719</v>
      </c>
    </row>
    <row r="40" spans="3:12" x14ac:dyDescent="0.35">
      <c r="C40" t="s">
        <v>476</v>
      </c>
      <c r="D40" t="s">
        <v>124</v>
      </c>
      <c r="E40">
        <v>56</v>
      </c>
      <c r="F40" t="s">
        <v>126</v>
      </c>
      <c r="G40" t="s">
        <v>477</v>
      </c>
      <c r="H40" t="s">
        <v>478</v>
      </c>
      <c r="I40" t="s">
        <v>125</v>
      </c>
      <c r="J40" t="s">
        <v>62</v>
      </c>
      <c r="K40" t="s">
        <v>127</v>
      </c>
      <c r="L40" t="s">
        <v>719</v>
      </c>
    </row>
    <row r="41" spans="3:12" x14ac:dyDescent="0.35">
      <c r="C41" t="s">
        <v>204</v>
      </c>
      <c r="D41" t="s">
        <v>124</v>
      </c>
      <c r="E41">
        <v>46</v>
      </c>
      <c r="F41" t="s">
        <v>126</v>
      </c>
      <c r="G41" t="s">
        <v>207</v>
      </c>
      <c r="H41" t="s">
        <v>208</v>
      </c>
      <c r="I41" t="s">
        <v>125</v>
      </c>
      <c r="J41" t="s">
        <v>205</v>
      </c>
      <c r="K41" t="s">
        <v>127</v>
      </c>
      <c r="L41" t="s">
        <v>719</v>
      </c>
    </row>
    <row r="42" spans="3:12" x14ac:dyDescent="0.35">
      <c r="C42" t="s">
        <v>391</v>
      </c>
      <c r="D42" t="s">
        <v>124</v>
      </c>
      <c r="E42">
        <v>52</v>
      </c>
      <c r="F42" t="s">
        <v>150</v>
      </c>
      <c r="G42" t="s">
        <v>392</v>
      </c>
      <c r="H42" t="s">
        <v>393</v>
      </c>
      <c r="I42" t="s">
        <v>125</v>
      </c>
      <c r="J42" t="s">
        <v>16</v>
      </c>
      <c r="K42" t="s">
        <v>127</v>
      </c>
      <c r="L42" t="s">
        <v>719</v>
      </c>
    </row>
    <row r="43" spans="3:12" x14ac:dyDescent="0.35">
      <c r="C43" t="s">
        <v>224</v>
      </c>
      <c r="D43" t="s">
        <v>124</v>
      </c>
      <c r="E43">
        <v>32</v>
      </c>
      <c r="F43" t="s">
        <v>150</v>
      </c>
      <c r="G43" t="s">
        <v>225</v>
      </c>
      <c r="H43" t="s">
        <v>226</v>
      </c>
      <c r="I43" t="s">
        <v>125</v>
      </c>
      <c r="J43" t="s">
        <v>62</v>
      </c>
      <c r="K43" t="s">
        <v>127</v>
      </c>
      <c r="L43" t="s">
        <v>719</v>
      </c>
    </row>
    <row r="44" spans="3:12" x14ac:dyDescent="0.35">
      <c r="C44" t="s">
        <v>590</v>
      </c>
      <c r="D44" t="s">
        <v>139</v>
      </c>
      <c r="E44">
        <v>54</v>
      </c>
      <c r="F44" t="s">
        <v>126</v>
      </c>
      <c r="G44" t="s">
        <v>591</v>
      </c>
      <c r="H44" t="s">
        <v>592</v>
      </c>
      <c r="I44" t="s">
        <v>149</v>
      </c>
      <c r="J44" t="s">
        <v>62</v>
      </c>
      <c r="K44" t="s">
        <v>127</v>
      </c>
      <c r="L44" t="s">
        <v>719</v>
      </c>
    </row>
    <row r="45" spans="3:12" x14ac:dyDescent="0.35">
      <c r="C45" t="s">
        <v>345</v>
      </c>
      <c r="D45" t="s">
        <v>124</v>
      </c>
      <c r="E45">
        <v>35</v>
      </c>
      <c r="F45" t="s">
        <v>150</v>
      </c>
      <c r="G45" t="s">
        <v>346</v>
      </c>
      <c r="H45" t="s">
        <v>347</v>
      </c>
      <c r="I45" t="s">
        <v>125</v>
      </c>
      <c r="J45" t="s">
        <v>16</v>
      </c>
      <c r="K45" t="s">
        <v>127</v>
      </c>
      <c r="L45" t="s">
        <v>719</v>
      </c>
    </row>
    <row r="46" spans="3:12" x14ac:dyDescent="0.35">
      <c r="C46" t="s">
        <v>38</v>
      </c>
      <c r="D46" t="s">
        <v>124</v>
      </c>
      <c r="E46">
        <v>32</v>
      </c>
      <c r="F46" t="s">
        <v>150</v>
      </c>
      <c r="G46" t="s">
        <v>40</v>
      </c>
      <c r="H46" t="s">
        <v>41</v>
      </c>
      <c r="I46" t="s">
        <v>145</v>
      </c>
      <c r="J46" t="s">
        <v>39</v>
      </c>
      <c r="K46" t="s">
        <v>127</v>
      </c>
      <c r="L46" t="s">
        <v>719</v>
      </c>
    </row>
    <row r="47" spans="3:12" x14ac:dyDescent="0.35">
      <c r="C47" t="s">
        <v>625</v>
      </c>
      <c r="D47" t="s">
        <v>124</v>
      </c>
      <c r="E47">
        <v>27</v>
      </c>
      <c r="F47" t="s">
        <v>126</v>
      </c>
      <c r="G47" t="s">
        <v>626</v>
      </c>
      <c r="H47" t="s">
        <v>627</v>
      </c>
      <c r="I47" t="s">
        <v>125</v>
      </c>
      <c r="J47" t="s">
        <v>62</v>
      </c>
      <c r="K47" t="s">
        <v>127</v>
      </c>
      <c r="L47" t="s">
        <v>719</v>
      </c>
    </row>
    <row r="48" spans="3:12" x14ac:dyDescent="0.35">
      <c r="C48" t="s">
        <v>42</v>
      </c>
      <c r="D48" t="s">
        <v>124</v>
      </c>
      <c r="E48">
        <v>45</v>
      </c>
      <c r="F48" t="s">
        <v>126</v>
      </c>
      <c r="G48" t="s">
        <v>44</v>
      </c>
      <c r="H48" t="s">
        <v>45</v>
      </c>
      <c r="I48" t="s">
        <v>125</v>
      </c>
      <c r="J48" t="s">
        <v>43</v>
      </c>
      <c r="K48" t="s">
        <v>127</v>
      </c>
      <c r="L48" t="s">
        <v>719</v>
      </c>
    </row>
    <row r="49" spans="3:12" x14ac:dyDescent="0.35">
      <c r="C49" t="s">
        <v>131</v>
      </c>
      <c r="D49" t="s">
        <v>124</v>
      </c>
      <c r="E49">
        <v>47</v>
      </c>
      <c r="F49" t="s">
        <v>126</v>
      </c>
      <c r="G49" t="s">
        <v>133</v>
      </c>
      <c r="H49" t="s">
        <v>134</v>
      </c>
      <c r="I49" t="s">
        <v>125</v>
      </c>
      <c r="J49" t="s">
        <v>16</v>
      </c>
      <c r="K49" t="s">
        <v>127</v>
      </c>
      <c r="L49" t="s">
        <v>719</v>
      </c>
    </row>
    <row r="50" spans="3:12" x14ac:dyDescent="0.35">
      <c r="C50" t="s">
        <v>250</v>
      </c>
      <c r="D50" t="s">
        <v>124</v>
      </c>
      <c r="E50">
        <v>41</v>
      </c>
      <c r="F50" t="s">
        <v>150</v>
      </c>
      <c r="G50" t="s">
        <v>251</v>
      </c>
      <c r="H50" t="s">
        <v>252</v>
      </c>
      <c r="I50" t="s">
        <v>149</v>
      </c>
      <c r="J50" t="s">
        <v>16</v>
      </c>
      <c r="K50" t="s">
        <v>127</v>
      </c>
      <c r="L50" t="s">
        <v>719</v>
      </c>
    </row>
    <row r="51" spans="3:12" x14ac:dyDescent="0.35">
      <c r="C51" t="s">
        <v>278</v>
      </c>
      <c r="D51" t="s">
        <v>124</v>
      </c>
      <c r="E51">
        <v>47</v>
      </c>
      <c r="F51" t="s">
        <v>150</v>
      </c>
      <c r="G51" t="s">
        <v>279</v>
      </c>
      <c r="H51" t="s">
        <v>280</v>
      </c>
      <c r="I51" t="s">
        <v>125</v>
      </c>
      <c r="J51" t="s">
        <v>16</v>
      </c>
      <c r="K51" t="s">
        <v>127</v>
      </c>
      <c r="L51" t="s">
        <v>719</v>
      </c>
    </row>
    <row r="52" spans="3:12" x14ac:dyDescent="0.35">
      <c r="C52" t="s">
        <v>46</v>
      </c>
      <c r="D52" t="s">
        <v>139</v>
      </c>
      <c r="E52">
        <v>30</v>
      </c>
      <c r="F52" t="s">
        <v>126</v>
      </c>
      <c r="G52" t="s">
        <v>48</v>
      </c>
      <c r="H52" t="s">
        <v>49</v>
      </c>
      <c r="I52" t="s">
        <v>149</v>
      </c>
      <c r="J52" t="s">
        <v>16</v>
      </c>
      <c r="K52" t="s">
        <v>127</v>
      </c>
      <c r="L52" t="s">
        <v>719</v>
      </c>
    </row>
    <row r="53" spans="3:12" x14ac:dyDescent="0.35">
      <c r="C53" t="s">
        <v>301</v>
      </c>
      <c r="D53" t="s">
        <v>124</v>
      </c>
      <c r="E53">
        <v>45</v>
      </c>
      <c r="F53" t="s">
        <v>126</v>
      </c>
      <c r="G53" t="s">
        <v>302</v>
      </c>
      <c r="H53" t="s">
        <v>303</v>
      </c>
      <c r="I53" t="s">
        <v>125</v>
      </c>
      <c r="J53" t="s">
        <v>185</v>
      </c>
      <c r="K53" t="s">
        <v>127</v>
      </c>
      <c r="L53" t="s">
        <v>719</v>
      </c>
    </row>
    <row r="54" spans="3:12" x14ac:dyDescent="0.35">
      <c r="C54" t="s">
        <v>367</v>
      </c>
      <c r="D54" t="s">
        <v>139</v>
      </c>
      <c r="E54">
        <v>36</v>
      </c>
      <c r="F54" t="s">
        <v>150</v>
      </c>
      <c r="G54" t="s">
        <v>368</v>
      </c>
      <c r="H54" t="s">
        <v>369</v>
      </c>
      <c r="I54" t="s">
        <v>145</v>
      </c>
      <c r="J54" t="s">
        <v>62</v>
      </c>
      <c r="K54" t="s">
        <v>127</v>
      </c>
      <c r="L54" t="s">
        <v>719</v>
      </c>
    </row>
    <row r="55" spans="3:12" x14ac:dyDescent="0.35">
      <c r="C55" t="s">
        <v>613</v>
      </c>
      <c r="D55" t="s">
        <v>124</v>
      </c>
      <c r="E55">
        <v>60</v>
      </c>
      <c r="F55" t="s">
        <v>126</v>
      </c>
      <c r="G55" t="s">
        <v>614</v>
      </c>
      <c r="H55" t="s">
        <v>615</v>
      </c>
      <c r="I55" t="s">
        <v>125</v>
      </c>
      <c r="J55" t="s">
        <v>62</v>
      </c>
      <c r="K55" t="s">
        <v>127</v>
      </c>
      <c r="L55" t="s">
        <v>719</v>
      </c>
    </row>
    <row r="56" spans="3:12" x14ac:dyDescent="0.35">
      <c r="C56" t="s">
        <v>50</v>
      </c>
      <c r="D56" t="s">
        <v>124</v>
      </c>
      <c r="E56">
        <v>65</v>
      </c>
      <c r="F56" t="s">
        <v>126</v>
      </c>
      <c r="G56" t="s">
        <v>52</v>
      </c>
      <c r="H56" t="s">
        <v>53</v>
      </c>
      <c r="I56" t="s">
        <v>125</v>
      </c>
      <c r="J56" t="s">
        <v>51</v>
      </c>
      <c r="K56" t="s">
        <v>132</v>
      </c>
      <c r="L56" t="s">
        <v>723</v>
      </c>
    </row>
    <row r="57" spans="3:12" x14ac:dyDescent="0.35">
      <c r="C57" t="s">
        <v>574</v>
      </c>
      <c r="D57" t="s">
        <v>124</v>
      </c>
      <c r="E57">
        <v>28</v>
      </c>
      <c r="F57" t="s">
        <v>126</v>
      </c>
      <c r="G57" t="s">
        <v>575</v>
      </c>
      <c r="H57" t="s">
        <v>576</v>
      </c>
      <c r="I57" t="s">
        <v>149</v>
      </c>
      <c r="J57" t="s">
        <v>185</v>
      </c>
      <c r="K57" t="s">
        <v>127</v>
      </c>
      <c r="L57" t="s">
        <v>719</v>
      </c>
    </row>
    <row r="58" spans="3:12" x14ac:dyDescent="0.35">
      <c r="C58" t="s">
        <v>652</v>
      </c>
      <c r="D58" t="s">
        <v>124</v>
      </c>
      <c r="E58">
        <v>48</v>
      </c>
      <c r="F58" t="s">
        <v>126</v>
      </c>
      <c r="G58" t="s">
        <v>653</v>
      </c>
      <c r="H58" t="s">
        <v>654</v>
      </c>
      <c r="I58" t="s">
        <v>125</v>
      </c>
      <c r="J58" t="s">
        <v>62</v>
      </c>
      <c r="K58" t="s">
        <v>127</v>
      </c>
      <c r="L58" t="s">
        <v>719</v>
      </c>
    </row>
    <row r="59" spans="3:12" x14ac:dyDescent="0.35">
      <c r="C59" t="s">
        <v>413</v>
      </c>
      <c r="D59" t="s">
        <v>124</v>
      </c>
      <c r="E59">
        <v>49</v>
      </c>
      <c r="F59" t="s">
        <v>150</v>
      </c>
      <c r="G59" t="s">
        <v>414</v>
      </c>
      <c r="H59" t="s">
        <v>415</v>
      </c>
      <c r="I59" t="s">
        <v>149</v>
      </c>
      <c r="J59" t="s">
        <v>16</v>
      </c>
      <c r="K59" t="s">
        <v>127</v>
      </c>
      <c r="L59" t="s">
        <v>719</v>
      </c>
    </row>
    <row r="60" spans="3:12" x14ac:dyDescent="0.35">
      <c r="C60" t="s">
        <v>417</v>
      </c>
      <c r="D60" t="s">
        <v>124</v>
      </c>
      <c r="E60">
        <v>34</v>
      </c>
      <c r="F60" t="s">
        <v>150</v>
      </c>
      <c r="G60" t="s">
        <v>418</v>
      </c>
      <c r="H60" t="s">
        <v>419</v>
      </c>
      <c r="I60" t="s">
        <v>149</v>
      </c>
      <c r="J60" t="s">
        <v>16</v>
      </c>
      <c r="K60" t="s">
        <v>127</v>
      </c>
      <c r="L60" t="s">
        <v>719</v>
      </c>
    </row>
    <row r="61" spans="3:12" x14ac:dyDescent="0.35">
      <c r="C61" t="s">
        <v>422</v>
      </c>
      <c r="D61" t="s">
        <v>124</v>
      </c>
      <c r="E61">
        <v>56</v>
      </c>
      <c r="F61" t="s">
        <v>126</v>
      </c>
      <c r="G61" t="s">
        <v>423</v>
      </c>
      <c r="H61" t="s">
        <v>424</v>
      </c>
      <c r="I61" t="s">
        <v>145</v>
      </c>
      <c r="J61" t="s">
        <v>16</v>
      </c>
      <c r="K61" t="s">
        <v>127</v>
      </c>
      <c r="L61" t="s">
        <v>719</v>
      </c>
    </row>
    <row r="62" spans="3:12" x14ac:dyDescent="0.35">
      <c r="C62" t="s">
        <v>443</v>
      </c>
      <c r="D62" t="s">
        <v>124</v>
      </c>
      <c r="E62">
        <v>49</v>
      </c>
      <c r="F62" t="s">
        <v>150</v>
      </c>
      <c r="G62" t="s">
        <v>444</v>
      </c>
      <c r="H62" t="s">
        <v>445</v>
      </c>
      <c r="I62" t="s">
        <v>125</v>
      </c>
      <c r="J62" t="s">
        <v>16</v>
      </c>
      <c r="K62" t="s">
        <v>127</v>
      </c>
      <c r="L62" t="s">
        <v>719</v>
      </c>
    </row>
    <row r="63" spans="3:12" x14ac:dyDescent="0.35">
      <c r="C63" t="s">
        <v>292</v>
      </c>
      <c r="D63" t="s">
        <v>124</v>
      </c>
      <c r="E63">
        <v>43</v>
      </c>
      <c r="F63" t="s">
        <v>126</v>
      </c>
      <c r="G63" t="s">
        <v>293</v>
      </c>
      <c r="H63" t="s">
        <v>294</v>
      </c>
      <c r="I63" t="s">
        <v>125</v>
      </c>
      <c r="J63" t="s">
        <v>16</v>
      </c>
      <c r="K63" t="s">
        <v>132</v>
      </c>
      <c r="L63" t="s">
        <v>719</v>
      </c>
    </row>
    <row r="64" spans="3:12" x14ac:dyDescent="0.35">
      <c r="C64" t="s">
        <v>532</v>
      </c>
      <c r="D64" t="s">
        <v>124</v>
      </c>
      <c r="E64">
        <v>26</v>
      </c>
      <c r="F64" t="s">
        <v>150</v>
      </c>
      <c r="G64" t="s">
        <v>533</v>
      </c>
      <c r="H64" t="s">
        <v>77</v>
      </c>
      <c r="I64" t="s">
        <v>125</v>
      </c>
      <c r="J64" t="s">
        <v>185</v>
      </c>
      <c r="K64" t="s">
        <v>127</v>
      </c>
      <c r="L64" t="s">
        <v>719</v>
      </c>
    </row>
    <row r="65" spans="3:12" x14ac:dyDescent="0.35">
      <c r="C65" t="s">
        <v>383</v>
      </c>
      <c r="D65" t="s">
        <v>139</v>
      </c>
      <c r="E65">
        <v>31</v>
      </c>
      <c r="F65" t="s">
        <v>508</v>
      </c>
      <c r="G65" t="s">
        <v>384</v>
      </c>
      <c r="H65" t="s">
        <v>385</v>
      </c>
      <c r="I65" t="s">
        <v>149</v>
      </c>
      <c r="J65" t="s">
        <v>62</v>
      </c>
      <c r="K65" t="s">
        <v>127</v>
      </c>
      <c r="L65" t="s">
        <v>719</v>
      </c>
    </row>
    <row r="66" spans="3:12" x14ac:dyDescent="0.35">
      <c r="C66" t="s">
        <v>431</v>
      </c>
      <c r="D66" t="s">
        <v>124</v>
      </c>
      <c r="E66">
        <v>25</v>
      </c>
      <c r="F66" t="s">
        <v>150</v>
      </c>
      <c r="G66" t="s">
        <v>432</v>
      </c>
      <c r="H66" t="s">
        <v>433</v>
      </c>
      <c r="I66" t="s">
        <v>125</v>
      </c>
      <c r="J66" t="s">
        <v>16</v>
      </c>
      <c r="K66" t="s">
        <v>127</v>
      </c>
      <c r="L66" t="s">
        <v>719</v>
      </c>
    </row>
    <row r="67" spans="3:12" x14ac:dyDescent="0.35">
      <c r="C67" t="s">
        <v>497</v>
      </c>
      <c r="D67" t="s">
        <v>124</v>
      </c>
      <c r="E67">
        <v>46</v>
      </c>
      <c r="F67" t="s">
        <v>126</v>
      </c>
      <c r="G67" t="s">
        <v>498</v>
      </c>
      <c r="H67" t="s">
        <v>499</v>
      </c>
      <c r="I67" t="s">
        <v>125</v>
      </c>
      <c r="J67" t="s">
        <v>62</v>
      </c>
      <c r="K67" t="s">
        <v>127</v>
      </c>
      <c r="L67" t="s">
        <v>719</v>
      </c>
    </row>
    <row r="68" spans="3:12" x14ac:dyDescent="0.35">
      <c r="C68" t="s">
        <v>54</v>
      </c>
      <c r="D68" t="s">
        <v>124</v>
      </c>
      <c r="E68">
        <v>54</v>
      </c>
      <c r="F68" t="s">
        <v>126</v>
      </c>
      <c r="G68" t="s">
        <v>56</v>
      </c>
      <c r="H68" t="s">
        <v>57</v>
      </c>
      <c r="I68" t="s">
        <v>125</v>
      </c>
      <c r="J68" t="s">
        <v>8</v>
      </c>
      <c r="K68" t="s">
        <v>127</v>
      </c>
      <c r="L68" t="s">
        <v>719</v>
      </c>
    </row>
    <row r="69" spans="3:12" x14ac:dyDescent="0.35">
      <c r="C69" t="s">
        <v>283</v>
      </c>
      <c r="D69" t="s">
        <v>124</v>
      </c>
      <c r="E69">
        <v>38</v>
      </c>
      <c r="F69" t="s">
        <v>126</v>
      </c>
      <c r="G69" t="s">
        <v>284</v>
      </c>
      <c r="H69" t="s">
        <v>285</v>
      </c>
      <c r="I69" t="s">
        <v>125</v>
      </c>
      <c r="J69" t="s">
        <v>16</v>
      </c>
      <c r="K69" t="s">
        <v>127</v>
      </c>
      <c r="L69" t="s">
        <v>719</v>
      </c>
    </row>
    <row r="70" spans="3:12" x14ac:dyDescent="0.35">
      <c r="C70" t="s">
        <v>541</v>
      </c>
      <c r="D70" t="s">
        <v>124</v>
      </c>
      <c r="E70">
        <v>35</v>
      </c>
      <c r="F70" t="s">
        <v>150</v>
      </c>
      <c r="G70" t="s">
        <v>542</v>
      </c>
      <c r="H70" t="s">
        <v>543</v>
      </c>
      <c r="I70" t="s">
        <v>125</v>
      </c>
      <c r="J70" t="s">
        <v>62</v>
      </c>
      <c r="K70" t="s">
        <v>127</v>
      </c>
      <c r="L70" t="s">
        <v>719</v>
      </c>
    </row>
    <row r="71" spans="3:12" x14ac:dyDescent="0.35">
      <c r="C71" t="s">
        <v>326</v>
      </c>
      <c r="D71" t="s">
        <v>124</v>
      </c>
      <c r="E71">
        <v>26</v>
      </c>
      <c r="F71" t="s">
        <v>126</v>
      </c>
      <c r="G71" t="s">
        <v>327</v>
      </c>
      <c r="H71" t="s">
        <v>328</v>
      </c>
      <c r="I71" t="s">
        <v>125</v>
      </c>
      <c r="J71" t="s">
        <v>205</v>
      </c>
      <c r="K71" t="s">
        <v>127</v>
      </c>
      <c r="L71" t="s">
        <v>719</v>
      </c>
    </row>
    <row r="72" spans="3:12" x14ac:dyDescent="0.35">
      <c r="C72" t="s">
        <v>296</v>
      </c>
      <c r="D72" t="s">
        <v>124</v>
      </c>
      <c r="E72">
        <v>44</v>
      </c>
      <c r="F72" t="s">
        <v>126</v>
      </c>
      <c r="G72" t="s">
        <v>298</v>
      </c>
      <c r="H72" t="s">
        <v>299</v>
      </c>
      <c r="I72" t="s">
        <v>149</v>
      </c>
      <c r="J72" t="s">
        <v>16</v>
      </c>
      <c r="K72" t="s">
        <v>127</v>
      </c>
      <c r="L72" t="s">
        <v>719</v>
      </c>
    </row>
    <row r="73" spans="3:12" x14ac:dyDescent="0.35">
      <c r="C73" t="s">
        <v>58</v>
      </c>
      <c r="D73" t="s">
        <v>124</v>
      </c>
      <c r="E73">
        <v>49</v>
      </c>
      <c r="F73" t="s">
        <v>126</v>
      </c>
      <c r="G73" t="s">
        <v>59</v>
      </c>
      <c r="H73" t="s">
        <v>60</v>
      </c>
      <c r="I73" t="s">
        <v>149</v>
      </c>
      <c r="J73" t="s">
        <v>33</v>
      </c>
      <c r="K73" t="s">
        <v>127</v>
      </c>
      <c r="L73" t="s">
        <v>719</v>
      </c>
    </row>
    <row r="74" spans="3:12" x14ac:dyDescent="0.35">
      <c r="C74" t="s">
        <v>234</v>
      </c>
      <c r="D74" t="s">
        <v>124</v>
      </c>
      <c r="E74">
        <v>66</v>
      </c>
      <c r="F74" t="s">
        <v>508</v>
      </c>
      <c r="G74" t="s">
        <v>235</v>
      </c>
      <c r="H74" t="s">
        <v>236</v>
      </c>
      <c r="I74" t="s">
        <v>125</v>
      </c>
      <c r="J74" t="s">
        <v>62</v>
      </c>
      <c r="K74" t="s">
        <v>132</v>
      </c>
      <c r="L74" t="s">
        <v>723</v>
      </c>
    </row>
    <row r="75" spans="3:12" x14ac:dyDescent="0.35">
      <c r="C75" t="s">
        <v>546</v>
      </c>
      <c r="D75" t="s">
        <v>124</v>
      </c>
      <c r="E75">
        <v>68</v>
      </c>
      <c r="F75" t="s">
        <v>126</v>
      </c>
      <c r="G75" t="s">
        <v>547</v>
      </c>
      <c r="H75" t="s">
        <v>548</v>
      </c>
      <c r="I75" t="s">
        <v>125</v>
      </c>
      <c r="J75" t="s">
        <v>62</v>
      </c>
      <c r="K75" t="s">
        <v>127</v>
      </c>
      <c r="L75" t="s">
        <v>723</v>
      </c>
    </row>
    <row r="76" spans="3:12" x14ac:dyDescent="0.35">
      <c r="C76" t="s">
        <v>61</v>
      </c>
      <c r="D76" t="s">
        <v>124</v>
      </c>
      <c r="E76">
        <v>37</v>
      </c>
      <c r="F76" t="s">
        <v>126</v>
      </c>
      <c r="G76" t="s">
        <v>64</v>
      </c>
      <c r="H76" t="s">
        <v>65</v>
      </c>
      <c r="I76" t="s">
        <v>125</v>
      </c>
      <c r="J76" t="s">
        <v>62</v>
      </c>
      <c r="K76" t="s">
        <v>127</v>
      </c>
      <c r="L76" t="s">
        <v>719</v>
      </c>
    </row>
    <row r="77" spans="3:12" x14ac:dyDescent="0.35">
      <c r="C77" t="s">
        <v>239</v>
      </c>
      <c r="D77" t="s">
        <v>124</v>
      </c>
      <c r="E77">
        <v>58</v>
      </c>
      <c r="F77" t="s">
        <v>126</v>
      </c>
      <c r="G77" t="s">
        <v>240</v>
      </c>
      <c r="H77" t="s">
        <v>241</v>
      </c>
      <c r="I77" t="s">
        <v>125</v>
      </c>
      <c r="J77" t="s">
        <v>16</v>
      </c>
      <c r="K77" t="s">
        <v>127</v>
      </c>
      <c r="L77" t="s">
        <v>719</v>
      </c>
    </row>
    <row r="78" spans="3:12" x14ac:dyDescent="0.35">
      <c r="C78" t="s">
        <v>66</v>
      </c>
      <c r="D78" t="s">
        <v>124</v>
      </c>
      <c r="E78">
        <v>51</v>
      </c>
      <c r="F78" t="s">
        <v>150</v>
      </c>
      <c r="G78" t="s">
        <v>67</v>
      </c>
      <c r="H78" t="s">
        <v>68</v>
      </c>
      <c r="I78" t="s">
        <v>125</v>
      </c>
      <c r="J78" t="s">
        <v>62</v>
      </c>
      <c r="K78" t="s">
        <v>127</v>
      </c>
      <c r="L78" t="s">
        <v>719</v>
      </c>
    </row>
    <row r="79" spans="3:12" x14ac:dyDescent="0.35">
      <c r="C79" t="s">
        <v>375</v>
      </c>
      <c r="D79" t="s">
        <v>124</v>
      </c>
      <c r="E79">
        <v>61</v>
      </c>
      <c r="F79" t="s">
        <v>126</v>
      </c>
      <c r="G79" t="s">
        <v>376</v>
      </c>
      <c r="H79" t="s">
        <v>377</v>
      </c>
      <c r="I79" t="s">
        <v>149</v>
      </c>
      <c r="J79" t="s">
        <v>62</v>
      </c>
      <c r="K79" t="s">
        <v>127</v>
      </c>
      <c r="L79" t="s">
        <v>719</v>
      </c>
    </row>
    <row r="80" spans="3:12" x14ac:dyDescent="0.35">
      <c r="C80" t="s">
        <v>446</v>
      </c>
      <c r="D80" t="s">
        <v>124</v>
      </c>
      <c r="E80">
        <v>48</v>
      </c>
      <c r="F80" t="s">
        <v>126</v>
      </c>
      <c r="G80" t="s">
        <v>447</v>
      </c>
      <c r="H80" t="s">
        <v>448</v>
      </c>
      <c r="I80" t="s">
        <v>125</v>
      </c>
      <c r="J80" t="s">
        <v>62</v>
      </c>
      <c r="K80" t="s">
        <v>127</v>
      </c>
      <c r="L80" t="s">
        <v>719</v>
      </c>
    </row>
    <row r="81" spans="3:12" x14ac:dyDescent="0.35">
      <c r="C81" t="s">
        <v>628</v>
      </c>
      <c r="D81" t="s">
        <v>124</v>
      </c>
      <c r="E81">
        <v>66</v>
      </c>
      <c r="F81" t="s">
        <v>126</v>
      </c>
      <c r="G81" t="s">
        <v>629</v>
      </c>
      <c r="H81" t="s">
        <v>630</v>
      </c>
      <c r="I81" t="s">
        <v>125</v>
      </c>
      <c r="J81" t="s">
        <v>62</v>
      </c>
      <c r="K81" t="s">
        <v>127</v>
      </c>
      <c r="L81" t="s">
        <v>723</v>
      </c>
    </row>
    <row r="82" spans="3:12" x14ac:dyDescent="0.35">
      <c r="C82" t="s">
        <v>69</v>
      </c>
      <c r="D82" t="s">
        <v>139</v>
      </c>
      <c r="E82">
        <v>32</v>
      </c>
      <c r="F82" t="s">
        <v>150</v>
      </c>
      <c r="G82" t="s">
        <v>70</v>
      </c>
      <c r="H82" t="s">
        <v>71</v>
      </c>
      <c r="I82" t="s">
        <v>125</v>
      </c>
      <c r="J82" t="s">
        <v>8</v>
      </c>
      <c r="K82" t="s">
        <v>127</v>
      </c>
      <c r="L82" t="s">
        <v>719</v>
      </c>
    </row>
    <row r="83" spans="3:12" x14ac:dyDescent="0.35">
      <c r="C83" t="s">
        <v>72</v>
      </c>
      <c r="D83" t="s">
        <v>124</v>
      </c>
      <c r="E83">
        <v>58</v>
      </c>
      <c r="F83" t="s">
        <v>126</v>
      </c>
      <c r="G83" t="s">
        <v>73</v>
      </c>
      <c r="H83" t="s">
        <v>74</v>
      </c>
      <c r="I83" t="s">
        <v>125</v>
      </c>
      <c r="J83" t="s">
        <v>43</v>
      </c>
      <c r="K83" t="s">
        <v>127</v>
      </c>
      <c r="L83" t="s">
        <v>719</v>
      </c>
    </row>
    <row r="84" spans="3:12" x14ac:dyDescent="0.35">
      <c r="C84" t="s">
        <v>179</v>
      </c>
      <c r="D84" t="s">
        <v>124</v>
      </c>
      <c r="E84">
        <v>57</v>
      </c>
      <c r="F84" t="s">
        <v>126</v>
      </c>
      <c r="G84" t="s">
        <v>180</v>
      </c>
      <c r="H84" t="s">
        <v>181</v>
      </c>
      <c r="I84" t="s">
        <v>125</v>
      </c>
      <c r="J84" t="s">
        <v>39</v>
      </c>
      <c r="K84" t="s">
        <v>127</v>
      </c>
      <c r="L84" t="s">
        <v>719</v>
      </c>
    </row>
    <row r="85" spans="3:12" x14ac:dyDescent="0.35">
      <c r="C85" t="s">
        <v>467</v>
      </c>
      <c r="D85" t="s">
        <v>124</v>
      </c>
      <c r="E85">
        <v>48</v>
      </c>
      <c r="F85" t="s">
        <v>126</v>
      </c>
      <c r="G85" t="s">
        <v>468</v>
      </c>
      <c r="H85" t="s">
        <v>469</v>
      </c>
      <c r="I85" t="s">
        <v>149</v>
      </c>
      <c r="J85" t="s">
        <v>16</v>
      </c>
      <c r="K85" t="s">
        <v>127</v>
      </c>
      <c r="L85" t="s">
        <v>719</v>
      </c>
    </row>
    <row r="86" spans="3:12" x14ac:dyDescent="0.35">
      <c r="C86" t="s">
        <v>161</v>
      </c>
      <c r="D86" t="s">
        <v>124</v>
      </c>
      <c r="E86">
        <v>58</v>
      </c>
      <c r="F86" t="s">
        <v>150</v>
      </c>
      <c r="G86" t="s">
        <v>162</v>
      </c>
      <c r="H86" t="s">
        <v>163</v>
      </c>
      <c r="I86" t="s">
        <v>125</v>
      </c>
      <c r="J86" t="s">
        <v>16</v>
      </c>
      <c r="K86" t="s">
        <v>127</v>
      </c>
      <c r="L86" t="s">
        <v>719</v>
      </c>
    </row>
    <row r="87" spans="3:12" x14ac:dyDescent="0.35">
      <c r="C87" t="s">
        <v>288</v>
      </c>
      <c r="D87" t="s">
        <v>124</v>
      </c>
      <c r="E87">
        <v>33</v>
      </c>
      <c r="F87" t="s">
        <v>126</v>
      </c>
      <c r="G87" t="s">
        <v>289</v>
      </c>
      <c r="H87" t="s">
        <v>290</v>
      </c>
      <c r="I87" t="s">
        <v>125</v>
      </c>
      <c r="J87" t="s">
        <v>16</v>
      </c>
      <c r="K87" t="s">
        <v>127</v>
      </c>
      <c r="L87" t="s">
        <v>719</v>
      </c>
    </row>
    <row r="88" spans="3:12" x14ac:dyDescent="0.35">
      <c r="C88" t="s">
        <v>493</v>
      </c>
      <c r="D88" t="s">
        <v>124</v>
      </c>
      <c r="E88">
        <v>41</v>
      </c>
      <c r="F88" t="s">
        <v>150</v>
      </c>
      <c r="G88" t="s">
        <v>494</v>
      </c>
      <c r="H88" t="s">
        <v>495</v>
      </c>
      <c r="I88" t="s">
        <v>125</v>
      </c>
      <c r="J88" t="s">
        <v>62</v>
      </c>
      <c r="K88" t="s">
        <v>127</v>
      </c>
      <c r="L88" t="s">
        <v>719</v>
      </c>
    </row>
    <row r="89" spans="3:12" x14ac:dyDescent="0.35">
      <c r="C89" t="s">
        <v>512</v>
      </c>
      <c r="D89" t="s">
        <v>124</v>
      </c>
      <c r="E89">
        <v>29</v>
      </c>
      <c r="F89" t="s">
        <v>150</v>
      </c>
      <c r="G89" t="s">
        <v>513</v>
      </c>
      <c r="H89" t="s">
        <v>514</v>
      </c>
      <c r="I89" t="s">
        <v>125</v>
      </c>
      <c r="J89" t="s">
        <v>62</v>
      </c>
      <c r="K89" t="s">
        <v>127</v>
      </c>
      <c r="L89" t="s">
        <v>719</v>
      </c>
    </row>
    <row r="90" spans="3:12" x14ac:dyDescent="0.35">
      <c r="C90" t="s">
        <v>75</v>
      </c>
      <c r="D90" t="s">
        <v>124</v>
      </c>
      <c r="E90">
        <v>29</v>
      </c>
      <c r="F90" t="s">
        <v>126</v>
      </c>
      <c r="G90" t="s">
        <v>76</v>
      </c>
      <c r="H90" t="s">
        <v>77</v>
      </c>
      <c r="I90" t="s">
        <v>125</v>
      </c>
      <c r="J90" t="s">
        <v>62</v>
      </c>
      <c r="K90" t="s">
        <v>132</v>
      </c>
      <c r="L90" t="s">
        <v>719</v>
      </c>
    </row>
    <row r="91" spans="3:12" x14ac:dyDescent="0.35">
      <c r="C91" t="s">
        <v>657</v>
      </c>
      <c r="D91" t="s">
        <v>124</v>
      </c>
      <c r="E91">
        <v>47</v>
      </c>
      <c r="F91" t="s">
        <v>150</v>
      </c>
      <c r="G91" t="s">
        <v>658</v>
      </c>
      <c r="H91" t="s">
        <v>659</v>
      </c>
      <c r="I91" t="s">
        <v>125</v>
      </c>
      <c r="J91" t="s">
        <v>62</v>
      </c>
      <c r="K91" t="s">
        <v>127</v>
      </c>
      <c r="L91" t="s">
        <v>719</v>
      </c>
    </row>
    <row r="92" spans="3:12" x14ac:dyDescent="0.35">
      <c r="C92" t="s">
        <v>148</v>
      </c>
      <c r="D92" t="s">
        <v>124</v>
      </c>
      <c r="E92">
        <v>50</v>
      </c>
      <c r="F92" t="s">
        <v>150</v>
      </c>
      <c r="G92" t="s">
        <v>152</v>
      </c>
      <c r="H92" t="s">
        <v>153</v>
      </c>
      <c r="I92" t="s">
        <v>149</v>
      </c>
      <c r="J92" t="s">
        <v>16</v>
      </c>
      <c r="K92" t="s">
        <v>127</v>
      </c>
      <c r="L92" t="s">
        <v>719</v>
      </c>
    </row>
    <row r="93" spans="3:12" x14ac:dyDescent="0.35">
      <c r="C93" t="s">
        <v>78</v>
      </c>
      <c r="D93" t="s">
        <v>124</v>
      </c>
      <c r="E93">
        <v>61</v>
      </c>
      <c r="F93" t="s">
        <v>126</v>
      </c>
      <c r="G93" t="s">
        <v>79</v>
      </c>
      <c r="H93" t="s">
        <v>80</v>
      </c>
      <c r="I93" t="s">
        <v>145</v>
      </c>
      <c r="J93" t="s">
        <v>33</v>
      </c>
      <c r="K93" t="s">
        <v>127</v>
      </c>
      <c r="L93" t="s">
        <v>719</v>
      </c>
    </row>
    <row r="94" spans="3:12" x14ac:dyDescent="0.35">
      <c r="C94" t="s">
        <v>81</v>
      </c>
      <c r="D94" t="s">
        <v>124</v>
      </c>
      <c r="E94">
        <v>26</v>
      </c>
      <c r="F94" t="s">
        <v>150</v>
      </c>
      <c r="G94" t="s">
        <v>82</v>
      </c>
      <c r="H94" t="s">
        <v>83</v>
      </c>
      <c r="I94" t="s">
        <v>149</v>
      </c>
      <c r="J94" t="s">
        <v>16</v>
      </c>
      <c r="K94" t="s">
        <v>127</v>
      </c>
      <c r="L94" t="s">
        <v>719</v>
      </c>
    </row>
    <row r="95" spans="3:12" x14ac:dyDescent="0.35">
      <c r="C95" t="s">
        <v>463</v>
      </c>
      <c r="D95" t="s">
        <v>124</v>
      </c>
      <c r="E95">
        <v>54</v>
      </c>
      <c r="F95" t="s">
        <v>126</v>
      </c>
      <c r="G95" t="s">
        <v>464</v>
      </c>
      <c r="H95" t="s">
        <v>465</v>
      </c>
      <c r="I95" t="s">
        <v>125</v>
      </c>
      <c r="J95" t="s">
        <v>62</v>
      </c>
      <c r="K95" t="s">
        <v>127</v>
      </c>
      <c r="L95" t="s">
        <v>719</v>
      </c>
    </row>
    <row r="96" spans="3:12" x14ac:dyDescent="0.35">
      <c r="C96" t="s">
        <v>228</v>
      </c>
      <c r="D96" t="s">
        <v>124</v>
      </c>
      <c r="E96">
        <v>64</v>
      </c>
      <c r="F96" t="s">
        <v>126</v>
      </c>
      <c r="G96" t="s">
        <v>229</v>
      </c>
      <c r="H96" t="s">
        <v>230</v>
      </c>
      <c r="I96" t="s">
        <v>125</v>
      </c>
      <c r="J96" t="s">
        <v>62</v>
      </c>
      <c r="K96" t="s">
        <v>127</v>
      </c>
      <c r="L96" t="s">
        <v>723</v>
      </c>
    </row>
    <row r="97" spans="3:12" x14ac:dyDescent="0.35">
      <c r="C97" t="s">
        <v>583</v>
      </c>
      <c r="D97" t="s">
        <v>139</v>
      </c>
      <c r="E97">
        <v>40</v>
      </c>
      <c r="F97" t="s">
        <v>126</v>
      </c>
      <c r="G97" t="s">
        <v>584</v>
      </c>
      <c r="H97" t="s">
        <v>585</v>
      </c>
      <c r="I97" t="s">
        <v>149</v>
      </c>
      <c r="J97" t="s">
        <v>62</v>
      </c>
      <c r="K97" t="s">
        <v>127</v>
      </c>
      <c r="L97" t="s">
        <v>719</v>
      </c>
    </row>
    <row r="98" spans="3:12" x14ac:dyDescent="0.35">
      <c r="C98" t="s">
        <v>387</v>
      </c>
      <c r="D98" t="s">
        <v>124</v>
      </c>
      <c r="E98">
        <v>63</v>
      </c>
      <c r="F98" t="s">
        <v>126</v>
      </c>
      <c r="G98" t="s">
        <v>388</v>
      </c>
      <c r="H98" t="s">
        <v>389</v>
      </c>
      <c r="I98" t="s">
        <v>125</v>
      </c>
      <c r="J98" t="s">
        <v>43</v>
      </c>
      <c r="K98" t="s">
        <v>127</v>
      </c>
      <c r="L98" t="s">
        <v>719</v>
      </c>
    </row>
    <row r="99" spans="3:12" x14ac:dyDescent="0.35">
      <c r="C99" t="s">
        <v>84</v>
      </c>
      <c r="D99" t="s">
        <v>124</v>
      </c>
      <c r="E99">
        <v>41</v>
      </c>
      <c r="F99" t="s">
        <v>126</v>
      </c>
      <c r="G99" t="s">
        <v>86</v>
      </c>
      <c r="H99" t="s">
        <v>87</v>
      </c>
      <c r="I99" t="s">
        <v>125</v>
      </c>
      <c r="J99" t="s">
        <v>16</v>
      </c>
      <c r="K99" t="s">
        <v>127</v>
      </c>
      <c r="L99" t="s">
        <v>719</v>
      </c>
    </row>
    <row r="100" spans="3:12" x14ac:dyDescent="0.35">
      <c r="C100" t="s">
        <v>640</v>
      </c>
      <c r="D100" t="s">
        <v>139</v>
      </c>
      <c r="E100">
        <v>57</v>
      </c>
      <c r="F100" t="s">
        <v>126</v>
      </c>
      <c r="G100" t="s">
        <v>641</v>
      </c>
      <c r="H100" t="s">
        <v>642</v>
      </c>
      <c r="I100" t="s">
        <v>149</v>
      </c>
      <c r="J100" t="s">
        <v>51</v>
      </c>
      <c r="K100" t="s">
        <v>127</v>
      </c>
      <c r="L100" t="s">
        <v>719</v>
      </c>
    </row>
    <row r="101" spans="3:12" x14ac:dyDescent="0.35">
      <c r="C101" t="s">
        <v>439</v>
      </c>
      <c r="D101" t="s">
        <v>139</v>
      </c>
      <c r="E101">
        <v>39</v>
      </c>
      <c r="F101" t="s">
        <v>150</v>
      </c>
      <c r="G101" t="s">
        <v>440</v>
      </c>
      <c r="H101" t="s">
        <v>441</v>
      </c>
      <c r="I101" t="s">
        <v>125</v>
      </c>
      <c r="J101" t="s">
        <v>62</v>
      </c>
      <c r="K101" t="s">
        <v>127</v>
      </c>
      <c r="L101" t="s">
        <v>719</v>
      </c>
    </row>
    <row r="102" spans="3:12" x14ac:dyDescent="0.35">
      <c r="C102" t="s">
        <v>123</v>
      </c>
      <c r="D102" t="s">
        <v>124</v>
      </c>
      <c r="E102">
        <v>57</v>
      </c>
      <c r="F102" t="s">
        <v>126</v>
      </c>
      <c r="G102" t="s">
        <v>128</v>
      </c>
      <c r="H102" t="s">
        <v>129</v>
      </c>
      <c r="I102" t="s">
        <v>125</v>
      </c>
      <c r="J102" t="s">
        <v>16</v>
      </c>
      <c r="K102" t="s">
        <v>127</v>
      </c>
      <c r="L102" t="s">
        <v>719</v>
      </c>
    </row>
    <row r="103" spans="3:12" x14ac:dyDescent="0.35">
      <c r="C103" t="s">
        <v>617</v>
      </c>
      <c r="D103" t="s">
        <v>124</v>
      </c>
      <c r="E103">
        <v>44</v>
      </c>
      <c r="F103" t="s">
        <v>126</v>
      </c>
      <c r="G103" t="s">
        <v>618</v>
      </c>
      <c r="H103" t="s">
        <v>619</v>
      </c>
      <c r="I103" t="s">
        <v>125</v>
      </c>
      <c r="J103" t="s">
        <v>62</v>
      </c>
      <c r="K103" t="s">
        <v>127</v>
      </c>
      <c r="L103" t="s">
        <v>719</v>
      </c>
    </row>
    <row r="104" spans="3:12" x14ac:dyDescent="0.35">
      <c r="C104" t="s">
        <v>88</v>
      </c>
      <c r="D104" t="s">
        <v>124</v>
      </c>
      <c r="E104">
        <v>55</v>
      </c>
      <c r="F104" t="s">
        <v>126</v>
      </c>
      <c r="G104" t="s">
        <v>90</v>
      </c>
      <c r="H104" t="s">
        <v>91</v>
      </c>
      <c r="I104" t="s">
        <v>125</v>
      </c>
      <c r="J104" t="s">
        <v>16</v>
      </c>
      <c r="K104" t="s">
        <v>127</v>
      </c>
      <c r="L104" t="s">
        <v>719</v>
      </c>
    </row>
    <row r="105" spans="3:12" x14ac:dyDescent="0.35">
      <c r="C105" t="s">
        <v>274</v>
      </c>
      <c r="D105" t="s">
        <v>124</v>
      </c>
      <c r="E105">
        <v>33</v>
      </c>
      <c r="F105" t="s">
        <v>126</v>
      </c>
      <c r="G105" t="s">
        <v>275</v>
      </c>
      <c r="H105" t="s">
        <v>276</v>
      </c>
      <c r="I105" t="s">
        <v>125</v>
      </c>
      <c r="J105" t="s">
        <v>16</v>
      </c>
      <c r="K105" t="s">
        <v>127</v>
      </c>
      <c r="L105" t="s">
        <v>719</v>
      </c>
    </row>
    <row r="106" spans="3:12" x14ac:dyDescent="0.35">
      <c r="C106" t="s">
        <v>555</v>
      </c>
      <c r="D106" t="s">
        <v>124</v>
      </c>
      <c r="E106">
        <v>60</v>
      </c>
      <c r="F106" t="s">
        <v>150</v>
      </c>
      <c r="G106" t="s">
        <v>556</v>
      </c>
      <c r="H106" t="s">
        <v>557</v>
      </c>
      <c r="I106" t="s">
        <v>125</v>
      </c>
      <c r="J106" t="s">
        <v>62</v>
      </c>
      <c r="K106" t="s">
        <v>127</v>
      </c>
      <c r="L106" t="s">
        <v>719</v>
      </c>
    </row>
    <row r="107" spans="3:12" x14ac:dyDescent="0.35">
      <c r="C107" t="s">
        <v>92</v>
      </c>
      <c r="D107" t="s">
        <v>124</v>
      </c>
      <c r="E107">
        <v>50</v>
      </c>
      <c r="F107" t="s">
        <v>126</v>
      </c>
      <c r="G107" t="s">
        <v>93</v>
      </c>
      <c r="H107" t="s">
        <v>94</v>
      </c>
      <c r="I107" t="s">
        <v>125</v>
      </c>
      <c r="J107" t="s">
        <v>16</v>
      </c>
      <c r="K107" t="s">
        <v>127</v>
      </c>
      <c r="L107" t="s">
        <v>719</v>
      </c>
    </row>
    <row r="108" spans="3:12" x14ac:dyDescent="0.35">
      <c r="C108" t="s">
        <v>335</v>
      </c>
      <c r="D108" t="s">
        <v>124</v>
      </c>
      <c r="E108">
        <v>32</v>
      </c>
      <c r="F108" t="s">
        <v>126</v>
      </c>
      <c r="G108" t="s">
        <v>336</v>
      </c>
      <c r="H108" t="s">
        <v>337</v>
      </c>
      <c r="I108" t="s">
        <v>125</v>
      </c>
      <c r="J108" t="s">
        <v>16</v>
      </c>
      <c r="K108" t="s">
        <v>127</v>
      </c>
      <c r="L108" t="s">
        <v>719</v>
      </c>
    </row>
    <row r="109" spans="3:12" x14ac:dyDescent="0.35">
      <c r="C109" t="s">
        <v>601</v>
      </c>
      <c r="D109" t="s">
        <v>139</v>
      </c>
      <c r="E109">
        <v>37</v>
      </c>
      <c r="F109" t="s">
        <v>150</v>
      </c>
      <c r="G109" t="s">
        <v>602</v>
      </c>
      <c r="H109" t="s">
        <v>603</v>
      </c>
      <c r="I109" t="s">
        <v>125</v>
      </c>
      <c r="J109" t="s">
        <v>62</v>
      </c>
      <c r="K109" t="s">
        <v>132</v>
      </c>
      <c r="L109" t="s">
        <v>719</v>
      </c>
    </row>
    <row r="110" spans="3:12" x14ac:dyDescent="0.35">
      <c r="C110" t="s">
        <v>597</v>
      </c>
      <c r="D110" t="s">
        <v>124</v>
      </c>
      <c r="E110">
        <v>28</v>
      </c>
      <c r="F110" t="s">
        <v>150</v>
      </c>
      <c r="G110" t="s">
        <v>598</v>
      </c>
      <c r="H110" t="s">
        <v>599</v>
      </c>
      <c r="I110" t="s">
        <v>125</v>
      </c>
      <c r="J110" t="s">
        <v>62</v>
      </c>
      <c r="K110" t="s">
        <v>127</v>
      </c>
      <c r="L110" t="s">
        <v>719</v>
      </c>
    </row>
    <row r="111" spans="3:12" x14ac:dyDescent="0.35">
      <c r="C111" t="s">
        <v>95</v>
      </c>
      <c r="D111" t="s">
        <v>139</v>
      </c>
      <c r="E111">
        <v>43</v>
      </c>
      <c r="F111" t="s">
        <v>150</v>
      </c>
      <c r="G111" t="s">
        <v>96</v>
      </c>
      <c r="H111" t="s">
        <v>97</v>
      </c>
      <c r="I111" t="s">
        <v>149</v>
      </c>
      <c r="J111" t="s">
        <v>16</v>
      </c>
      <c r="K111" t="s">
        <v>127</v>
      </c>
      <c r="L111" t="s">
        <v>719</v>
      </c>
    </row>
    <row r="112" spans="3:12" x14ac:dyDescent="0.35">
      <c r="C112" t="s">
        <v>502</v>
      </c>
      <c r="D112" t="s">
        <v>124</v>
      </c>
      <c r="E112">
        <v>44</v>
      </c>
      <c r="F112" t="s">
        <v>150</v>
      </c>
      <c r="G112" t="s">
        <v>503</v>
      </c>
      <c r="H112" t="s">
        <v>504</v>
      </c>
      <c r="I112" t="s">
        <v>149</v>
      </c>
      <c r="J112" t="s">
        <v>62</v>
      </c>
      <c r="K112" t="s">
        <v>127</v>
      </c>
      <c r="L112" t="s">
        <v>719</v>
      </c>
    </row>
    <row r="113" spans="3:12" x14ac:dyDescent="0.35">
      <c r="C113" t="s">
        <v>551</v>
      </c>
      <c r="D113" t="s">
        <v>124</v>
      </c>
      <c r="E113">
        <v>57</v>
      </c>
      <c r="F113" t="s">
        <v>150</v>
      </c>
      <c r="G113" t="s">
        <v>552</v>
      </c>
      <c r="H113" t="s">
        <v>553</v>
      </c>
      <c r="I113" t="s">
        <v>125</v>
      </c>
      <c r="J113" t="s">
        <v>62</v>
      </c>
      <c r="K113" t="s">
        <v>127</v>
      </c>
      <c r="L113" t="s">
        <v>719</v>
      </c>
    </row>
    <row r="114" spans="3:12" x14ac:dyDescent="0.35">
      <c r="C114" t="s">
        <v>593</v>
      </c>
      <c r="D114" t="s">
        <v>124</v>
      </c>
      <c r="E114">
        <v>59</v>
      </c>
      <c r="F114" t="s">
        <v>150</v>
      </c>
      <c r="G114" t="s">
        <v>594</v>
      </c>
      <c r="H114" t="s">
        <v>595</v>
      </c>
      <c r="I114" t="s">
        <v>125</v>
      </c>
      <c r="J114" t="s">
        <v>62</v>
      </c>
      <c r="K114" t="s">
        <v>127</v>
      </c>
      <c r="L114" t="s">
        <v>719</v>
      </c>
    </row>
    <row r="115" spans="3:12" x14ac:dyDescent="0.35">
      <c r="C115" t="s">
        <v>472</v>
      </c>
      <c r="D115" t="s">
        <v>124</v>
      </c>
      <c r="E115">
        <v>25</v>
      </c>
      <c r="F115" t="s">
        <v>126</v>
      </c>
      <c r="G115" t="s">
        <v>473</v>
      </c>
      <c r="H115" t="s">
        <v>474</v>
      </c>
      <c r="I115" t="s">
        <v>125</v>
      </c>
      <c r="J115" t="s">
        <v>16</v>
      </c>
      <c r="K115" t="s">
        <v>127</v>
      </c>
      <c r="L115" t="s">
        <v>719</v>
      </c>
    </row>
    <row r="116" spans="3:12" x14ac:dyDescent="0.35">
      <c r="C116" t="s">
        <v>244</v>
      </c>
      <c r="D116" t="s">
        <v>139</v>
      </c>
      <c r="E116">
        <v>62</v>
      </c>
      <c r="F116" t="s">
        <v>126</v>
      </c>
      <c r="G116" t="s">
        <v>246</v>
      </c>
      <c r="H116" t="s">
        <v>247</v>
      </c>
      <c r="I116" t="s">
        <v>145</v>
      </c>
      <c r="J116" t="s">
        <v>16</v>
      </c>
      <c r="K116" t="s">
        <v>127</v>
      </c>
      <c r="L116" t="s">
        <v>719</v>
      </c>
    </row>
    <row r="117" spans="3:12" x14ac:dyDescent="0.35">
      <c r="C117" t="s">
        <v>371</v>
      </c>
      <c r="D117" t="s">
        <v>124</v>
      </c>
      <c r="E117">
        <v>50</v>
      </c>
      <c r="F117" t="s">
        <v>126</v>
      </c>
      <c r="G117" t="s">
        <v>372</v>
      </c>
      <c r="H117" t="s">
        <v>373</v>
      </c>
      <c r="I117" t="s">
        <v>125</v>
      </c>
      <c r="J117" t="s">
        <v>16</v>
      </c>
      <c r="K117" t="s">
        <v>127</v>
      </c>
      <c r="L117" t="s">
        <v>719</v>
      </c>
    </row>
    <row r="118" spans="3:12" x14ac:dyDescent="0.35">
      <c r="C118" t="s">
        <v>184</v>
      </c>
      <c r="D118" t="s">
        <v>139</v>
      </c>
      <c r="E118">
        <v>25</v>
      </c>
      <c r="F118" t="s">
        <v>126</v>
      </c>
      <c r="G118" t="s">
        <v>186</v>
      </c>
      <c r="H118" t="s">
        <v>187</v>
      </c>
      <c r="I118" t="s">
        <v>149</v>
      </c>
      <c r="J118" t="s">
        <v>185</v>
      </c>
      <c r="K118" t="s">
        <v>127</v>
      </c>
      <c r="L118" t="s">
        <v>719</v>
      </c>
    </row>
    <row r="119" spans="3:12" x14ac:dyDescent="0.35">
      <c r="C119" t="s">
        <v>645</v>
      </c>
      <c r="D119" t="s">
        <v>124</v>
      </c>
      <c r="E119">
        <v>53</v>
      </c>
      <c r="F119" t="s">
        <v>126</v>
      </c>
      <c r="G119" t="s">
        <v>646</v>
      </c>
      <c r="H119" t="s">
        <v>647</v>
      </c>
      <c r="I119" t="s">
        <v>149</v>
      </c>
      <c r="J119" t="s">
        <v>62</v>
      </c>
      <c r="K119" t="s">
        <v>127</v>
      </c>
      <c r="L119" t="s">
        <v>719</v>
      </c>
    </row>
    <row r="120" spans="3:12" x14ac:dyDescent="0.35">
      <c r="C120" t="s">
        <v>485</v>
      </c>
      <c r="D120" t="s">
        <v>124</v>
      </c>
      <c r="E120">
        <v>66</v>
      </c>
      <c r="F120" t="s">
        <v>126</v>
      </c>
      <c r="G120" t="s">
        <v>486</v>
      </c>
      <c r="H120" t="s">
        <v>487</v>
      </c>
      <c r="I120" t="s">
        <v>125</v>
      </c>
      <c r="J120" t="s">
        <v>185</v>
      </c>
      <c r="K120" t="s">
        <v>127</v>
      </c>
      <c r="L120" t="s">
        <v>723</v>
      </c>
    </row>
    <row r="121" spans="3:12" x14ac:dyDescent="0.35">
      <c r="C121" t="s">
        <v>522</v>
      </c>
      <c r="D121" t="s">
        <v>139</v>
      </c>
      <c r="E121">
        <v>53</v>
      </c>
      <c r="F121" t="s">
        <v>150</v>
      </c>
      <c r="G121" t="s">
        <v>523</v>
      </c>
      <c r="H121" t="s">
        <v>524</v>
      </c>
      <c r="I121" t="s">
        <v>125</v>
      </c>
      <c r="J121" t="s">
        <v>62</v>
      </c>
      <c r="K121" t="s">
        <v>127</v>
      </c>
      <c r="L121" t="s">
        <v>719</v>
      </c>
    </row>
    <row r="122" spans="3:12" x14ac:dyDescent="0.35">
      <c r="C122" t="s">
        <v>167</v>
      </c>
      <c r="D122" t="s">
        <v>124</v>
      </c>
      <c r="E122">
        <v>40</v>
      </c>
      <c r="F122" t="s">
        <v>126</v>
      </c>
      <c r="G122" t="s">
        <v>169</v>
      </c>
      <c r="H122" t="s">
        <v>170</v>
      </c>
      <c r="I122" t="s">
        <v>145</v>
      </c>
      <c r="J122" t="s">
        <v>16</v>
      </c>
      <c r="K122" t="s">
        <v>127</v>
      </c>
      <c r="L122" t="s">
        <v>719</v>
      </c>
    </row>
    <row r="123" spans="3:12" x14ac:dyDescent="0.35">
      <c r="C123" t="s">
        <v>451</v>
      </c>
      <c r="D123" t="s">
        <v>124</v>
      </c>
      <c r="E123">
        <v>53</v>
      </c>
      <c r="F123" t="s">
        <v>150</v>
      </c>
      <c r="G123" t="s">
        <v>452</v>
      </c>
      <c r="H123" t="s">
        <v>453</v>
      </c>
      <c r="I123" t="s">
        <v>125</v>
      </c>
      <c r="J123" t="s">
        <v>62</v>
      </c>
      <c r="K123" t="s">
        <v>127</v>
      </c>
      <c r="L123" t="s">
        <v>719</v>
      </c>
    </row>
    <row r="124" spans="3:12" x14ac:dyDescent="0.35">
      <c r="C124" t="s">
        <v>633</v>
      </c>
      <c r="D124" t="s">
        <v>124</v>
      </c>
      <c r="E124">
        <v>44</v>
      </c>
      <c r="F124" t="s">
        <v>126</v>
      </c>
      <c r="G124" t="s">
        <v>634</v>
      </c>
      <c r="H124" t="s">
        <v>635</v>
      </c>
      <c r="I124" t="s">
        <v>149</v>
      </c>
      <c r="J124" t="s">
        <v>62</v>
      </c>
      <c r="K124" t="s">
        <v>127</v>
      </c>
      <c r="L124" t="s">
        <v>719</v>
      </c>
    </row>
    <row r="125" spans="3:12" x14ac:dyDescent="0.35">
      <c r="C125" t="s">
        <v>586</v>
      </c>
      <c r="D125" t="s">
        <v>139</v>
      </c>
      <c r="E125">
        <v>30</v>
      </c>
      <c r="F125" t="s">
        <v>126</v>
      </c>
      <c r="G125" t="s">
        <v>587</v>
      </c>
      <c r="H125" t="s">
        <v>588</v>
      </c>
      <c r="I125" t="s">
        <v>149</v>
      </c>
      <c r="J125" t="s">
        <v>185</v>
      </c>
      <c r="K125" t="s">
        <v>127</v>
      </c>
      <c r="L125" t="s">
        <v>719</v>
      </c>
    </row>
    <row r="126" spans="3:12" x14ac:dyDescent="0.35">
      <c r="C126" t="s">
        <v>210</v>
      </c>
      <c r="D126" t="s">
        <v>139</v>
      </c>
      <c r="E126">
        <v>50</v>
      </c>
      <c r="F126" t="s">
        <v>150</v>
      </c>
      <c r="G126" t="s">
        <v>211</v>
      </c>
      <c r="H126" t="s">
        <v>212</v>
      </c>
      <c r="I126" t="s">
        <v>149</v>
      </c>
      <c r="J126" t="s">
        <v>62</v>
      </c>
      <c r="K126" t="s">
        <v>127</v>
      </c>
      <c r="L126" t="s">
        <v>719</v>
      </c>
    </row>
    <row r="127" spans="3:12" x14ac:dyDescent="0.35">
      <c r="C127" t="s">
        <v>620</v>
      </c>
      <c r="D127" t="s">
        <v>124</v>
      </c>
      <c r="E127">
        <v>56</v>
      </c>
      <c r="F127" t="s">
        <v>126</v>
      </c>
      <c r="G127" t="s">
        <v>621</v>
      </c>
      <c r="H127" t="s">
        <v>622</v>
      </c>
      <c r="I127" t="s">
        <v>125</v>
      </c>
      <c r="J127" t="s">
        <v>62</v>
      </c>
      <c r="K127" t="s">
        <v>127</v>
      </c>
      <c r="L127" t="s">
        <v>719</v>
      </c>
    </row>
    <row r="128" spans="3:12" x14ac:dyDescent="0.35">
      <c r="C128" t="s">
        <v>566</v>
      </c>
      <c r="D128" t="s">
        <v>124</v>
      </c>
      <c r="E128">
        <v>27</v>
      </c>
      <c r="F128" t="s">
        <v>126</v>
      </c>
      <c r="G128" t="s">
        <v>567</v>
      </c>
      <c r="H128" t="s">
        <v>568</v>
      </c>
      <c r="I128" t="s">
        <v>149</v>
      </c>
      <c r="J128" t="s">
        <v>62</v>
      </c>
      <c r="K128" t="s">
        <v>127</v>
      </c>
      <c r="L128" t="s">
        <v>719</v>
      </c>
    </row>
    <row r="129" spans="3:12" x14ac:dyDescent="0.35">
      <c r="C129" t="s">
        <v>456</v>
      </c>
      <c r="D129" t="s">
        <v>124</v>
      </c>
      <c r="E129">
        <v>49</v>
      </c>
      <c r="F129" t="s">
        <v>126</v>
      </c>
      <c r="G129" t="s">
        <v>457</v>
      </c>
      <c r="H129" t="s">
        <v>458</v>
      </c>
      <c r="I129" t="s">
        <v>125</v>
      </c>
      <c r="J129" t="s">
        <v>16</v>
      </c>
      <c r="K129" t="s">
        <v>127</v>
      </c>
      <c r="L129" t="s">
        <v>719</v>
      </c>
    </row>
    <row r="130" spans="3:12" x14ac:dyDescent="0.35">
      <c r="C130" t="s">
        <v>98</v>
      </c>
      <c r="D130" t="s">
        <v>139</v>
      </c>
      <c r="E130">
        <v>65</v>
      </c>
      <c r="F130" t="s">
        <v>150</v>
      </c>
      <c r="G130" t="s">
        <v>99</v>
      </c>
      <c r="H130" t="s">
        <v>100</v>
      </c>
      <c r="I130" t="s">
        <v>125</v>
      </c>
      <c r="J130" t="s">
        <v>43</v>
      </c>
      <c r="K130" t="s">
        <v>132</v>
      </c>
      <c r="L130" t="s">
        <v>723</v>
      </c>
    </row>
    <row r="131" spans="3:12" x14ac:dyDescent="0.35">
      <c r="C131" t="s">
        <v>378</v>
      </c>
      <c r="D131" t="s">
        <v>124</v>
      </c>
      <c r="E131">
        <v>45</v>
      </c>
      <c r="F131" t="s">
        <v>150</v>
      </c>
      <c r="G131" t="s">
        <v>379</v>
      </c>
      <c r="H131" t="s">
        <v>380</v>
      </c>
      <c r="I131" t="s">
        <v>149</v>
      </c>
      <c r="J131" t="s">
        <v>205</v>
      </c>
      <c r="K131" t="s">
        <v>127</v>
      </c>
      <c r="L131" t="s">
        <v>719</v>
      </c>
    </row>
    <row r="132" spans="3:12" x14ac:dyDescent="0.35">
      <c r="C132" t="s">
        <v>340</v>
      </c>
      <c r="D132" t="s">
        <v>124</v>
      </c>
      <c r="E132">
        <v>27</v>
      </c>
      <c r="F132" t="s">
        <v>126</v>
      </c>
      <c r="G132" t="s">
        <v>341</v>
      </c>
      <c r="H132" t="s">
        <v>342</v>
      </c>
      <c r="I132" t="s">
        <v>125</v>
      </c>
      <c r="J132" t="s">
        <v>16</v>
      </c>
      <c r="K132" t="s">
        <v>127</v>
      </c>
      <c r="L132" t="s">
        <v>719</v>
      </c>
    </row>
    <row r="133" spans="3:12" x14ac:dyDescent="0.35">
      <c r="C133" t="s">
        <v>259</v>
      </c>
      <c r="D133" t="s">
        <v>124</v>
      </c>
      <c r="E133">
        <v>39</v>
      </c>
      <c r="F133" t="s">
        <v>126</v>
      </c>
      <c r="G133" t="s">
        <v>260</v>
      </c>
      <c r="H133" t="s">
        <v>261</v>
      </c>
      <c r="I133" t="s">
        <v>125</v>
      </c>
      <c r="J133" t="s">
        <v>43</v>
      </c>
      <c r="K133" t="s">
        <v>127</v>
      </c>
      <c r="L133" t="s">
        <v>719</v>
      </c>
    </row>
    <row r="134" spans="3:12" x14ac:dyDescent="0.35">
      <c r="C134" t="s">
        <v>527</v>
      </c>
      <c r="D134" t="s">
        <v>124</v>
      </c>
      <c r="E134">
        <v>48</v>
      </c>
      <c r="F134" t="s">
        <v>150</v>
      </c>
      <c r="G134" t="s">
        <v>528</v>
      </c>
      <c r="H134" t="s">
        <v>529</v>
      </c>
      <c r="I134" t="s">
        <v>149</v>
      </c>
      <c r="J134" t="s">
        <v>62</v>
      </c>
      <c r="K134" t="s">
        <v>127</v>
      </c>
      <c r="L134" t="s">
        <v>719</v>
      </c>
    </row>
    <row r="135" spans="3:12" x14ac:dyDescent="0.35">
      <c r="C135" t="s">
        <v>435</v>
      </c>
      <c r="D135" t="s">
        <v>124</v>
      </c>
      <c r="E135">
        <v>47</v>
      </c>
      <c r="F135" t="s">
        <v>126</v>
      </c>
      <c r="G135" t="s">
        <v>436</v>
      </c>
      <c r="H135" t="s">
        <v>437</v>
      </c>
      <c r="I135" t="s">
        <v>125</v>
      </c>
      <c r="J135" t="s">
        <v>205</v>
      </c>
      <c r="K135" t="s">
        <v>127</v>
      </c>
      <c r="L135" t="s">
        <v>719</v>
      </c>
    </row>
    <row r="136" spans="3:12" x14ac:dyDescent="0.35">
      <c r="C136" t="s">
        <v>144</v>
      </c>
      <c r="D136" t="s">
        <v>124</v>
      </c>
      <c r="E136">
        <v>26</v>
      </c>
      <c r="F136" t="s">
        <v>150</v>
      </c>
      <c r="G136" t="s">
        <v>146</v>
      </c>
      <c r="H136" t="s">
        <v>147</v>
      </c>
      <c r="I136" t="s">
        <v>125</v>
      </c>
      <c r="J136" t="s">
        <v>16</v>
      </c>
      <c r="K136" t="s">
        <v>127</v>
      </c>
      <c r="L136" t="s">
        <v>719</v>
      </c>
    </row>
    <row r="137" spans="3:12" x14ac:dyDescent="0.35">
      <c r="C137" t="s">
        <v>536</v>
      </c>
      <c r="D137" t="s">
        <v>124</v>
      </c>
      <c r="E137">
        <v>63</v>
      </c>
      <c r="F137" t="s">
        <v>150</v>
      </c>
      <c r="G137" t="s">
        <v>537</v>
      </c>
      <c r="H137" t="s">
        <v>538</v>
      </c>
      <c r="I137" t="s">
        <v>125</v>
      </c>
      <c r="J137" t="s">
        <v>62</v>
      </c>
      <c r="K137" t="s">
        <v>127</v>
      </c>
      <c r="L137" t="s">
        <v>719</v>
      </c>
    </row>
    <row r="138" spans="3:12" x14ac:dyDescent="0.35">
      <c r="C138" t="s">
        <v>359</v>
      </c>
      <c r="D138" t="s">
        <v>124</v>
      </c>
      <c r="E138">
        <v>41</v>
      </c>
      <c r="F138" t="s">
        <v>126</v>
      </c>
      <c r="G138" t="s">
        <v>360</v>
      </c>
      <c r="H138" t="s">
        <v>361</v>
      </c>
      <c r="I138" t="s">
        <v>149</v>
      </c>
      <c r="J138" t="s">
        <v>205</v>
      </c>
      <c r="K138" t="s">
        <v>127</v>
      </c>
      <c r="L138" t="s">
        <v>719</v>
      </c>
    </row>
    <row r="139" spans="3:12" x14ac:dyDescent="0.35">
      <c r="C139" t="s">
        <v>254</v>
      </c>
      <c r="D139" t="s">
        <v>124</v>
      </c>
      <c r="E139">
        <v>34</v>
      </c>
      <c r="F139" t="s">
        <v>126</v>
      </c>
      <c r="G139" t="s">
        <v>255</v>
      </c>
      <c r="H139" t="s">
        <v>256</v>
      </c>
      <c r="I139" t="s">
        <v>125</v>
      </c>
      <c r="J139" t="s">
        <v>62</v>
      </c>
      <c r="K139" t="s">
        <v>127</v>
      </c>
      <c r="L139" t="s">
        <v>719</v>
      </c>
    </row>
    <row r="140" spans="3:12" x14ac:dyDescent="0.35">
      <c r="C140" t="s">
        <v>605</v>
      </c>
      <c r="D140" t="s">
        <v>124</v>
      </c>
      <c r="E140">
        <v>62</v>
      </c>
      <c r="F140" t="s">
        <v>126</v>
      </c>
      <c r="G140" t="s">
        <v>606</v>
      </c>
      <c r="H140" t="s">
        <v>607</v>
      </c>
      <c r="I140" t="s">
        <v>149</v>
      </c>
      <c r="J140" t="s">
        <v>51</v>
      </c>
      <c r="K140" t="s">
        <v>127</v>
      </c>
      <c r="L140" t="s">
        <v>719</v>
      </c>
    </row>
    <row r="141" spans="3:12" x14ac:dyDescent="0.35">
      <c r="C141" t="s">
        <v>400</v>
      </c>
      <c r="D141" t="s">
        <v>124</v>
      </c>
      <c r="E141">
        <v>46</v>
      </c>
      <c r="F141" t="s">
        <v>150</v>
      </c>
      <c r="G141" t="s">
        <v>401</v>
      </c>
      <c r="H141" t="s">
        <v>402</v>
      </c>
      <c r="I141" t="s">
        <v>149</v>
      </c>
      <c r="J141" t="s">
        <v>16</v>
      </c>
      <c r="K141" t="s">
        <v>127</v>
      </c>
      <c r="L141" t="s">
        <v>719</v>
      </c>
    </row>
    <row r="142" spans="3:12" x14ac:dyDescent="0.35">
      <c r="C142" t="s">
        <v>101</v>
      </c>
      <c r="D142" t="s">
        <v>139</v>
      </c>
      <c r="E142">
        <v>46</v>
      </c>
      <c r="F142" t="s">
        <v>126</v>
      </c>
      <c r="G142" t="s">
        <v>102</v>
      </c>
      <c r="H142" t="s">
        <v>103</v>
      </c>
      <c r="I142" t="s">
        <v>125</v>
      </c>
      <c r="J142" t="s">
        <v>16</v>
      </c>
      <c r="K142" t="s">
        <v>127</v>
      </c>
      <c r="L142" t="s">
        <v>719</v>
      </c>
    </row>
    <row r="143" spans="3:12" x14ac:dyDescent="0.35">
      <c r="C143" t="s">
        <v>104</v>
      </c>
      <c r="D143" t="s">
        <v>124</v>
      </c>
      <c r="E143">
        <v>62</v>
      </c>
      <c r="F143" t="s">
        <v>150</v>
      </c>
      <c r="G143" t="s">
        <v>105</v>
      </c>
      <c r="H143" t="s">
        <v>106</v>
      </c>
      <c r="I143" t="s">
        <v>125</v>
      </c>
      <c r="J143" t="s">
        <v>51</v>
      </c>
      <c r="K143" t="s">
        <v>127</v>
      </c>
      <c r="L143" t="s">
        <v>719</v>
      </c>
    </row>
    <row r="144" spans="3:12" x14ac:dyDescent="0.35">
      <c r="C144" t="s">
        <v>220</v>
      </c>
      <c r="D144" t="s">
        <v>139</v>
      </c>
      <c r="E144">
        <v>65</v>
      </c>
      <c r="F144" t="s">
        <v>150</v>
      </c>
      <c r="G144" t="s">
        <v>221</v>
      </c>
      <c r="H144" t="s">
        <v>222</v>
      </c>
      <c r="I144" t="s">
        <v>145</v>
      </c>
      <c r="J144" t="s">
        <v>185</v>
      </c>
      <c r="K144" t="s">
        <v>127</v>
      </c>
      <c r="L144" t="s">
        <v>723</v>
      </c>
    </row>
    <row r="145" spans="3:12" x14ac:dyDescent="0.35">
      <c r="C145" t="s">
        <v>107</v>
      </c>
      <c r="D145" t="s">
        <v>139</v>
      </c>
      <c r="E145">
        <v>32</v>
      </c>
      <c r="F145" t="s">
        <v>126</v>
      </c>
      <c r="G145" t="s">
        <v>108</v>
      </c>
      <c r="H145" t="s">
        <v>109</v>
      </c>
      <c r="I145" t="s">
        <v>145</v>
      </c>
      <c r="J145" t="s">
        <v>16</v>
      </c>
      <c r="K145" t="s">
        <v>127</v>
      </c>
      <c r="L145" t="s">
        <v>719</v>
      </c>
    </row>
    <row r="146" spans="3:12" x14ac:dyDescent="0.35">
      <c r="C146" t="s">
        <v>110</v>
      </c>
      <c r="D146" t="s">
        <v>124</v>
      </c>
      <c r="E146">
        <v>44</v>
      </c>
      <c r="F146" t="s">
        <v>126</v>
      </c>
      <c r="G146" t="s">
        <v>112</v>
      </c>
      <c r="H146" t="s">
        <v>113</v>
      </c>
      <c r="I146" t="s">
        <v>145</v>
      </c>
      <c r="J146" t="s">
        <v>16</v>
      </c>
      <c r="K146" t="s">
        <v>127</v>
      </c>
      <c r="L146" t="s">
        <v>719</v>
      </c>
    </row>
    <row r="147" spans="3:12" x14ac:dyDescent="0.35">
      <c r="C147" t="s">
        <v>114</v>
      </c>
      <c r="D147" t="s">
        <v>124</v>
      </c>
      <c r="E147">
        <v>69</v>
      </c>
      <c r="F147" t="s">
        <v>150</v>
      </c>
      <c r="G147" t="s">
        <v>115</v>
      </c>
      <c r="H147" t="s">
        <v>116</v>
      </c>
      <c r="I147" t="s">
        <v>145</v>
      </c>
      <c r="J147" t="s">
        <v>16</v>
      </c>
      <c r="K147" t="s">
        <v>127</v>
      </c>
      <c r="L147" t="s">
        <v>723</v>
      </c>
    </row>
    <row r="148" spans="3:12" x14ac:dyDescent="0.35">
      <c r="C148" t="s">
        <v>269</v>
      </c>
      <c r="D148" t="s">
        <v>124</v>
      </c>
      <c r="E148">
        <v>30</v>
      </c>
      <c r="F148" t="s">
        <v>150</v>
      </c>
      <c r="G148" t="s">
        <v>270</v>
      </c>
      <c r="H148" t="s">
        <v>271</v>
      </c>
      <c r="I148" t="s">
        <v>125</v>
      </c>
      <c r="J148" t="s">
        <v>33</v>
      </c>
      <c r="K148" t="s">
        <v>127</v>
      </c>
      <c r="L148" t="s">
        <v>719</v>
      </c>
    </row>
    <row r="149" spans="3:12" x14ac:dyDescent="0.35">
      <c r="C149" t="s">
        <v>264</v>
      </c>
      <c r="D149" t="s">
        <v>124</v>
      </c>
      <c r="E149">
        <v>41</v>
      </c>
      <c r="F149" t="s">
        <v>150</v>
      </c>
      <c r="G149" t="s">
        <v>265</v>
      </c>
      <c r="H149" t="s">
        <v>266</v>
      </c>
      <c r="I149" t="s">
        <v>125</v>
      </c>
      <c r="J149" t="s">
        <v>62</v>
      </c>
      <c r="K149" t="s">
        <v>127</v>
      </c>
      <c r="L149" t="s">
        <v>719</v>
      </c>
    </row>
    <row r="150" spans="3:12" x14ac:dyDescent="0.35">
      <c r="C150" t="s">
        <v>569</v>
      </c>
      <c r="D150" t="s">
        <v>139</v>
      </c>
      <c r="E150">
        <v>44</v>
      </c>
      <c r="F150" t="s">
        <v>126</v>
      </c>
      <c r="G150" t="s">
        <v>570</v>
      </c>
      <c r="H150" t="s">
        <v>571</v>
      </c>
      <c r="I150" t="s">
        <v>149</v>
      </c>
      <c r="J150" t="s">
        <v>62</v>
      </c>
      <c r="K150" t="s">
        <v>127</v>
      </c>
      <c r="L150" t="s">
        <v>719</v>
      </c>
    </row>
    <row r="151" spans="3:12" x14ac:dyDescent="0.35">
      <c r="C151" t="s">
        <v>117</v>
      </c>
      <c r="D151" t="s">
        <v>124</v>
      </c>
      <c r="E151">
        <v>57</v>
      </c>
      <c r="F151" t="s">
        <v>126</v>
      </c>
      <c r="G151" t="s">
        <v>119</v>
      </c>
      <c r="H151" t="s">
        <v>120</v>
      </c>
      <c r="I151" t="s">
        <v>145</v>
      </c>
      <c r="J151" t="s">
        <v>16</v>
      </c>
      <c r="K151" t="s">
        <v>132</v>
      </c>
      <c r="L151" t="s">
        <v>719</v>
      </c>
    </row>
    <row r="152" spans="3:12" x14ac:dyDescent="0.35">
      <c r="C152" t="s">
        <v>320</v>
      </c>
      <c r="D152" t="s">
        <v>124</v>
      </c>
      <c r="E152">
        <v>60</v>
      </c>
      <c r="F152" t="s">
        <v>126</v>
      </c>
      <c r="G152" t="s">
        <v>321</v>
      </c>
      <c r="H152" t="s">
        <v>322</v>
      </c>
      <c r="I152" t="s">
        <v>125</v>
      </c>
      <c r="J152" t="s">
        <v>16</v>
      </c>
      <c r="K152" t="s">
        <v>127</v>
      </c>
      <c r="L152" t="s">
        <v>719</v>
      </c>
    </row>
    <row r="153" spans="3:12" x14ac:dyDescent="0.35">
      <c r="C153" t="s">
        <v>563</v>
      </c>
      <c r="D153" t="s">
        <v>124</v>
      </c>
      <c r="E153">
        <v>40</v>
      </c>
      <c r="F153" t="s">
        <v>508</v>
      </c>
      <c r="G153" t="s">
        <v>564</v>
      </c>
      <c r="H153" t="s">
        <v>565</v>
      </c>
      <c r="I153" t="s">
        <v>149</v>
      </c>
      <c r="J153" t="s">
        <v>62</v>
      </c>
      <c r="K153" t="s">
        <v>127</v>
      </c>
      <c r="L153" t="s">
        <v>719</v>
      </c>
    </row>
    <row r="154" spans="3:12" x14ac:dyDescent="0.35">
      <c r="C154" t="s">
        <v>741</v>
      </c>
      <c r="D154" t="s">
        <v>139</v>
      </c>
      <c r="E154">
        <v>68</v>
      </c>
      <c r="F154" t="s">
        <v>126</v>
      </c>
      <c r="G154" t="s">
        <v>653</v>
      </c>
      <c r="H154" t="s">
        <v>654</v>
      </c>
      <c r="I154" t="s">
        <v>149</v>
      </c>
      <c r="J154" t="s">
        <v>62</v>
      </c>
      <c r="K154" t="s">
        <v>127</v>
      </c>
      <c r="L154" t="s">
        <v>723</v>
      </c>
    </row>
    <row r="155" spans="3:12" x14ac:dyDescent="0.35">
      <c r="C155" t="s">
        <v>739</v>
      </c>
      <c r="D155" t="s">
        <v>139</v>
      </c>
      <c r="E155">
        <v>56</v>
      </c>
      <c r="F155" t="s">
        <v>150</v>
      </c>
      <c r="G155" t="s">
        <v>658</v>
      </c>
      <c r="H155" t="s">
        <v>659</v>
      </c>
      <c r="I155" t="s">
        <v>149</v>
      </c>
      <c r="J155" t="s">
        <v>62</v>
      </c>
      <c r="K155" t="s">
        <v>132</v>
      </c>
      <c r="L155" t="s">
        <v>719</v>
      </c>
    </row>
    <row r="156" spans="3:12" x14ac:dyDescent="0.35">
      <c r="C156" t="s">
        <v>740</v>
      </c>
      <c r="D156" t="s">
        <v>139</v>
      </c>
      <c r="E156">
        <v>68</v>
      </c>
      <c r="F156" t="s">
        <v>126</v>
      </c>
      <c r="G156" t="s">
        <v>661</v>
      </c>
      <c r="H156" t="s">
        <v>662</v>
      </c>
      <c r="I156" t="s">
        <v>149</v>
      </c>
      <c r="J156" t="s">
        <v>62</v>
      </c>
      <c r="K156" t="s">
        <v>127</v>
      </c>
      <c r="L156" t="s">
        <v>723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EF9095-8EB9-4038-862C-D55F2AD436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data</vt:lpstr>
      <vt:lpstr>hrdata</vt:lpstr>
      <vt:lpstr>Analysis</vt:lpstr>
      <vt:lpstr>dashboard</vt:lpstr>
      <vt:lpstr>search</vt:lpstr>
      <vt:lpstr>departments</vt:lpstr>
      <vt:lpstr>departments2</vt:lpstr>
      <vt:lpstr>Employeecount</vt:lpstr>
      <vt:lpstr>employeereview</vt:lpstr>
      <vt:lpstr>employeestatus</vt:lpstr>
      <vt:lpstr>Gender</vt:lpstr>
      <vt:lpstr>location</vt:lpstr>
      <vt:lpstr>searchrange</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2025-05-29T03:16:30Z</cp:lastPrinted>
  <dcterms:created xsi:type="dcterms:W3CDTF">2023-06-23T08:49:33Z</dcterms:created>
  <dcterms:modified xsi:type="dcterms:W3CDTF">2025-05-29T03:17:01Z</dcterms:modified>
</cp:coreProperties>
</file>